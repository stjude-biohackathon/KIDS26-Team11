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mirez/Downloads/"/>
    </mc:Choice>
  </mc:AlternateContent>
  <xr:revisionPtr revIDLastSave="0" documentId="13_ncr:1_{A5774EAC-DDF9-5F42-B481-F5A3EF51B922}" xr6:coauthVersionLast="47" xr6:coauthVersionMax="47" xr10:uidLastSave="{00000000-0000-0000-0000-000000000000}"/>
  <bookViews>
    <workbookView xWindow="6020" yWindow="1980" windowWidth="26840" windowHeight="14600" firstSheet="6" activeTab="6" xr2:uid="{AB1675E7-83F6-FC43-8C57-29BE3C2E7C86}"/>
  </bookViews>
  <sheets>
    <sheet name="EW" sheetId="5" r:id="rId1"/>
    <sheet name="NBL" sheetId="1" r:id="rId2"/>
    <sheet name="OST" sheetId="7" r:id="rId3"/>
    <sheet name="RBL" sheetId="4" r:id="rId4"/>
    <sheet name="WT" sheetId="3" r:id="rId5"/>
    <sheet name="Media Experiments" sheetId="6" r:id="rId6"/>
    <sheet name="OST - backup tab" sheetId="2" r:id="rId7"/>
    <sheet name="RM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44" i="7" l="1"/>
  <c r="H744" i="7" s="1"/>
  <c r="G742" i="7"/>
  <c r="H742" i="7" s="1"/>
  <c r="G740" i="7"/>
  <c r="H740" i="7" s="1"/>
  <c r="G738" i="7"/>
  <c r="H738" i="7" s="1"/>
  <c r="G179" i="7"/>
  <c r="H179" i="7" s="1"/>
  <c r="G177" i="7"/>
  <c r="H177" i="7" s="1"/>
  <c r="G175" i="7"/>
  <c r="H175" i="7" s="1"/>
  <c r="G278" i="1"/>
  <c r="H278" i="1" s="1"/>
  <c r="G276" i="1"/>
  <c r="H276" i="1" s="1"/>
  <c r="G274" i="1"/>
  <c r="H274" i="1" s="1"/>
  <c r="G106" i="1"/>
  <c r="H106" i="1" s="1"/>
  <c r="G104" i="1"/>
  <c r="H104" i="1" s="1"/>
  <c r="G102" i="1"/>
  <c r="H102" i="1" s="1"/>
  <c r="G181" i="3"/>
  <c r="H181" i="3" s="1"/>
  <c r="G179" i="3"/>
  <c r="H179" i="3" s="1"/>
  <c r="G177" i="3"/>
  <c r="H177" i="3" s="1"/>
  <c r="G175" i="3"/>
  <c r="H175" i="3" s="1"/>
  <c r="G196" i="3"/>
  <c r="H196" i="3" s="1"/>
  <c r="G194" i="3"/>
  <c r="H194" i="3" s="1"/>
  <c r="G192" i="3"/>
  <c r="H192" i="3" s="1"/>
  <c r="G190" i="3"/>
  <c r="H190" i="3" s="1"/>
  <c r="G646" i="7"/>
  <c r="H646" i="7" s="1"/>
  <c r="G644" i="7"/>
  <c r="H644" i="7" s="1"/>
  <c r="G642" i="7"/>
  <c r="H642" i="7" s="1"/>
  <c r="G640" i="7"/>
  <c r="H640" i="7" s="1"/>
  <c r="G728" i="7"/>
  <c r="H728" i="7" s="1"/>
  <c r="G726" i="7"/>
  <c r="H726" i="7" s="1"/>
  <c r="G724" i="7"/>
  <c r="H724" i="7" s="1"/>
  <c r="G714" i="7"/>
  <c r="H714" i="7" s="1"/>
  <c r="G712" i="7"/>
  <c r="H712" i="7" s="1"/>
  <c r="G710" i="7"/>
  <c r="H710" i="7" s="1"/>
  <c r="G663" i="7"/>
  <c r="H663" i="7" s="1"/>
  <c r="G661" i="7"/>
  <c r="H661" i="7" s="1"/>
  <c r="G659" i="7"/>
  <c r="H659" i="7" s="1"/>
  <c r="G657" i="7"/>
  <c r="H657" i="7" s="1"/>
  <c r="G700" i="7"/>
  <c r="H700" i="7" s="1"/>
  <c r="G698" i="7"/>
  <c r="H698" i="7" s="1"/>
  <c r="G696" i="7"/>
  <c r="H696" i="7" s="1"/>
  <c r="G694" i="7"/>
  <c r="H694" i="7" s="1"/>
  <c r="G388" i="4"/>
  <c r="H388" i="4" s="1"/>
  <c r="G386" i="4"/>
  <c r="H386" i="4" s="1"/>
  <c r="G402" i="4"/>
  <c r="H402" i="4" s="1"/>
  <c r="G400" i="4"/>
  <c r="H400" i="4" s="1"/>
  <c r="G430" i="4"/>
  <c r="H430" i="4" s="1"/>
  <c r="G428" i="4"/>
  <c r="H428" i="4" s="1"/>
  <c r="G416" i="4"/>
  <c r="H416" i="4" s="1"/>
  <c r="G414" i="4"/>
  <c r="H414" i="4" s="1"/>
  <c r="G57" i="3"/>
  <c r="H57" i="3" s="1"/>
  <c r="G249" i="4"/>
  <c r="H249" i="4" s="1"/>
  <c r="G98" i="1"/>
  <c r="H98" i="1" s="1"/>
  <c r="G214" i="1"/>
  <c r="H214" i="1" s="1"/>
  <c r="G129" i="1"/>
  <c r="H129" i="1" s="1"/>
  <c r="G76" i="1"/>
  <c r="H76" i="1" s="1"/>
  <c r="G238" i="1"/>
  <c r="H238" i="1" s="1"/>
  <c r="G236" i="1"/>
  <c r="H236" i="1" s="1"/>
  <c r="G234" i="1"/>
  <c r="H234" i="1" s="1"/>
  <c r="G337" i="4"/>
  <c r="H337" i="4" s="1"/>
  <c r="G350" i="4"/>
  <c r="H350" i="4" s="1"/>
  <c r="G259" i="4"/>
  <c r="H259" i="4" s="1"/>
  <c r="G268" i="4"/>
  <c r="H268" i="4" s="1"/>
  <c r="G362" i="4"/>
  <c r="H362" i="4" s="1"/>
  <c r="G118" i="4"/>
  <c r="H118" i="4" s="1"/>
  <c r="G117" i="3"/>
  <c r="H117" i="3" s="1"/>
  <c r="G128" i="3"/>
  <c r="H128" i="3" s="1"/>
  <c r="G143" i="3"/>
  <c r="H143" i="3" s="1"/>
  <c r="G154" i="3"/>
  <c r="H154" i="3" s="1"/>
  <c r="G95" i="3"/>
  <c r="H95" i="3" s="1"/>
  <c r="G165" i="3"/>
  <c r="H165" i="3" s="1"/>
  <c r="G625" i="7"/>
  <c r="H625" i="7" s="1"/>
  <c r="G595" i="7"/>
  <c r="H595" i="7" s="1"/>
  <c r="G553" i="7"/>
  <c r="H553" i="7" s="1"/>
  <c r="G296" i="7"/>
  <c r="H296" i="7" s="1"/>
  <c r="G670" i="7"/>
  <c r="H670" i="7" s="1"/>
  <c r="G668" i="7"/>
  <c r="H668" i="7" s="1"/>
  <c r="G637" i="7"/>
  <c r="H637" i="7" s="1"/>
  <c r="G635" i="7"/>
  <c r="H635" i="7" s="1"/>
  <c r="G633" i="7"/>
  <c r="H633" i="7" s="1"/>
  <c r="G631" i="7"/>
  <c r="H631" i="7" s="1"/>
  <c r="G623" i="7"/>
  <c r="H623" i="7" s="1"/>
  <c r="G621" i="7"/>
  <c r="H621" i="7" s="1"/>
  <c r="G619" i="7"/>
  <c r="H619" i="7" s="1"/>
  <c r="G617" i="7"/>
  <c r="H617" i="7" s="1"/>
  <c r="G89" i="5"/>
  <c r="H89" i="5" s="1"/>
  <c r="G116" i="5"/>
  <c r="H116" i="5" s="1"/>
  <c r="G136" i="1"/>
  <c r="H136" i="1" s="1"/>
  <c r="G134" i="1"/>
  <c r="H134" i="1" s="1"/>
  <c r="G132" i="1"/>
  <c r="H132" i="1" s="1"/>
  <c r="G374" i="4"/>
  <c r="H374" i="4" s="1"/>
  <c r="G372" i="4"/>
  <c r="H372" i="4" s="1"/>
  <c r="G348" i="4"/>
  <c r="H348" i="4" s="1"/>
  <c r="G335" i="4"/>
  <c r="H335" i="4" s="1"/>
  <c r="G360" i="4"/>
  <c r="H360" i="4" s="1"/>
  <c r="G358" i="4"/>
  <c r="H358" i="4" s="1"/>
  <c r="G163" i="3"/>
  <c r="H163" i="3" s="1"/>
  <c r="G161" i="3"/>
  <c r="H161" i="3" s="1"/>
  <c r="G159" i="3"/>
  <c r="H159" i="3" s="1"/>
  <c r="G157" i="3"/>
  <c r="H157" i="3" s="1"/>
  <c r="G152" i="3"/>
  <c r="H152" i="3" s="1"/>
  <c r="G150" i="3"/>
  <c r="H150" i="3" s="1"/>
  <c r="G148" i="3"/>
  <c r="H148" i="3" s="1"/>
  <c r="G146" i="3"/>
  <c r="H146" i="3" s="1"/>
  <c r="G432" i="7"/>
  <c r="H432" i="7" s="1"/>
  <c r="G66" i="5"/>
  <c r="H66" i="5" s="1"/>
  <c r="G322" i="4"/>
  <c r="H322" i="4" s="1"/>
  <c r="G666" i="7"/>
  <c r="H666" i="7" s="1"/>
  <c r="G607" i="7"/>
  <c r="H607" i="7" s="1"/>
  <c r="G605" i="7"/>
  <c r="H605" i="7" s="1"/>
  <c r="G603" i="7"/>
  <c r="H603" i="7" s="1"/>
  <c r="G593" i="7"/>
  <c r="H593" i="7" s="1"/>
  <c r="G591" i="7"/>
  <c r="H591" i="7" s="1"/>
  <c r="G589" i="7"/>
  <c r="H589" i="7" s="1"/>
  <c r="G141" i="3"/>
  <c r="H141" i="3" s="1"/>
  <c r="G139" i="3"/>
  <c r="H139" i="3" s="1"/>
  <c r="G137" i="3"/>
  <c r="H137" i="3" s="1"/>
  <c r="G135" i="3"/>
  <c r="H135" i="3" s="1"/>
  <c r="G126" i="3"/>
  <c r="H126" i="3" s="1"/>
  <c r="G124" i="3"/>
  <c r="H124" i="3" s="1"/>
  <c r="G122" i="3"/>
  <c r="H122" i="3" s="1"/>
  <c r="G33" i="5"/>
  <c r="H33" i="5" s="1"/>
  <c r="G31" i="5"/>
  <c r="H31" i="5" s="1"/>
  <c r="G285" i="4"/>
  <c r="H285" i="4" s="1"/>
  <c r="G266" i="4"/>
  <c r="H266" i="4" s="1"/>
  <c r="G346" i="4"/>
  <c r="H346" i="4" s="1"/>
  <c r="G344" i="4"/>
  <c r="H344" i="4" s="1"/>
  <c r="G333" i="4"/>
  <c r="H333" i="4" s="1"/>
  <c r="G331" i="4"/>
  <c r="H331" i="4" s="1"/>
  <c r="G25" i="1"/>
  <c r="H25" i="1" s="1"/>
  <c r="G23" i="1"/>
  <c r="H23" i="1" s="1"/>
  <c r="G225" i="1"/>
  <c r="H225" i="1" s="1"/>
  <c r="G223" i="1"/>
  <c r="H223" i="1" s="1"/>
  <c r="G221" i="1"/>
  <c r="H221" i="1" s="1"/>
  <c r="G72" i="3"/>
  <c r="H72" i="3" s="1"/>
  <c r="G70" i="3"/>
  <c r="H70" i="3" s="1"/>
  <c r="G68" i="3"/>
  <c r="H68" i="3" s="1"/>
  <c r="G66" i="3"/>
  <c r="H66" i="3" s="1"/>
  <c r="G115" i="3"/>
  <c r="H115" i="3" s="1"/>
  <c r="G113" i="3"/>
  <c r="H113" i="3" s="1"/>
  <c r="G111" i="3"/>
  <c r="H111" i="3" s="1"/>
  <c r="G109" i="3"/>
  <c r="H109" i="3" s="1"/>
  <c r="G104" i="3"/>
  <c r="H104" i="3" s="1"/>
  <c r="G102" i="3"/>
  <c r="H102" i="3" s="1"/>
  <c r="G482" i="7"/>
  <c r="H482" i="7" s="1"/>
  <c r="G581" i="7"/>
  <c r="H581" i="7" s="1"/>
  <c r="G463" i="7"/>
  <c r="H463" i="7" s="1"/>
  <c r="G461" i="7"/>
  <c r="H461" i="7" s="1"/>
  <c r="G459" i="7"/>
  <c r="H459" i="7" s="1"/>
  <c r="G376" i="7"/>
  <c r="H376" i="7" s="1"/>
  <c r="G374" i="7"/>
  <c r="H374" i="7" s="1"/>
  <c r="G372" i="7"/>
  <c r="H372" i="7" s="1"/>
  <c r="G370" i="7"/>
  <c r="H370" i="7" s="1"/>
  <c r="G430" i="7"/>
  <c r="H430" i="7" s="1"/>
  <c r="G428" i="7"/>
  <c r="H428" i="7" s="1"/>
  <c r="G426" i="7"/>
  <c r="H426" i="7" s="1"/>
  <c r="G424" i="7"/>
  <c r="H424" i="7" s="1"/>
  <c r="G530" i="7"/>
  <c r="H530" i="7" s="1"/>
  <c r="G528" i="7"/>
  <c r="H528" i="7" s="1"/>
  <c r="G526" i="7"/>
  <c r="H526" i="7" s="1"/>
  <c r="G294" i="7"/>
  <c r="H294" i="7" s="1"/>
  <c r="G51" i="1"/>
  <c r="H51" i="1" s="1"/>
  <c r="G49" i="1"/>
  <c r="H49" i="1" s="1"/>
  <c r="G192" i="1"/>
  <c r="H192" i="1" s="1"/>
  <c r="G190" i="1"/>
  <c r="H190" i="1" s="1"/>
  <c r="G188" i="1"/>
  <c r="H188" i="1" s="1"/>
  <c r="G212" i="1"/>
  <c r="H212" i="1" s="1"/>
  <c r="G210" i="1"/>
  <c r="H210" i="1" s="1"/>
  <c r="G208" i="1"/>
  <c r="H208" i="1" s="1"/>
  <c r="G199" i="1"/>
  <c r="H199" i="1" s="1"/>
  <c r="G197" i="1"/>
  <c r="H197" i="1" s="1"/>
  <c r="G195" i="1"/>
  <c r="H195" i="1" s="1"/>
  <c r="G239" i="4"/>
  <c r="H239" i="4" s="1"/>
  <c r="G222" i="4"/>
  <c r="H222" i="4" s="1"/>
  <c r="G101" i="4"/>
  <c r="H101" i="4" s="1"/>
  <c r="G132" i="4"/>
  <c r="H132" i="4" s="1"/>
  <c r="G92" i="4"/>
  <c r="H92" i="4" s="1"/>
  <c r="G291" i="4"/>
  <c r="H291" i="4" s="1"/>
  <c r="G320" i="4"/>
  <c r="H320" i="4" s="1"/>
  <c r="G318" i="4"/>
  <c r="H318" i="4" s="1"/>
  <c r="G264" i="4"/>
  <c r="H264" i="4" s="1"/>
  <c r="G262" i="4"/>
  <c r="H262" i="4" s="1"/>
  <c r="G116" i="4"/>
  <c r="H116" i="4" s="1"/>
  <c r="G114" i="4"/>
  <c r="H114" i="4" s="1"/>
  <c r="G306" i="4"/>
  <c r="H306" i="4" s="1"/>
  <c r="G304" i="4"/>
  <c r="H304" i="4" s="1"/>
  <c r="F80" i="8"/>
  <c r="G80" i="8" s="1"/>
  <c r="F78" i="8"/>
  <c r="G78" i="8" s="1"/>
  <c r="F74" i="8"/>
  <c r="G74" i="8" s="1"/>
  <c r="F72" i="8"/>
  <c r="G72" i="8" s="1"/>
  <c r="F70" i="8"/>
  <c r="G70" i="8" s="1"/>
  <c r="G480" i="7"/>
  <c r="H480" i="7" s="1"/>
  <c r="G367" i="7"/>
  <c r="H367" i="7" s="1"/>
  <c r="G563" i="7"/>
  <c r="H563" i="7" s="1"/>
  <c r="G561" i="7"/>
  <c r="H561" i="7" s="1"/>
  <c r="G465" i="7"/>
  <c r="H465" i="7" s="1"/>
  <c r="G579" i="7"/>
  <c r="H579" i="7" s="1"/>
  <c r="G577" i="7"/>
  <c r="H577" i="7" s="1"/>
  <c r="G575" i="7"/>
  <c r="H575" i="7" s="1"/>
  <c r="G551" i="7"/>
  <c r="H551" i="7" s="1"/>
  <c r="G549" i="7"/>
  <c r="H549" i="7" s="1"/>
  <c r="G547" i="7"/>
  <c r="H547" i="7" s="1"/>
  <c r="G535" i="7"/>
  <c r="H535" i="7" s="1"/>
  <c r="G533" i="7"/>
  <c r="H533" i="7" s="1"/>
  <c r="H20" i="3"/>
  <c r="G72" i="7"/>
  <c r="H72" i="7" s="1"/>
  <c r="G70" i="7"/>
  <c r="H70" i="7" s="1"/>
  <c r="G67" i="7"/>
  <c r="H67" i="7" s="1"/>
  <c r="G65" i="7"/>
  <c r="H65" i="7" s="1"/>
  <c r="G121" i="7"/>
  <c r="H121" i="7" s="1"/>
  <c r="G123" i="7"/>
  <c r="H123" i="7" s="1"/>
  <c r="G125" i="7"/>
  <c r="H125" i="7" s="1"/>
  <c r="G127" i="7"/>
  <c r="H127" i="7" s="1"/>
  <c r="G108" i="7"/>
  <c r="H108" i="7" s="1"/>
  <c r="G93" i="7"/>
  <c r="H93" i="7" s="1"/>
  <c r="G91" i="7"/>
  <c r="H91" i="7" s="1"/>
  <c r="G84" i="7"/>
  <c r="H84" i="7" s="1"/>
  <c r="G82" i="7"/>
  <c r="H82" i="7" s="1"/>
  <c r="G75" i="7"/>
  <c r="H75" i="7" s="1"/>
  <c r="G63" i="7"/>
  <c r="H63" i="7" s="1"/>
  <c r="G61" i="7"/>
  <c r="H61" i="7" s="1"/>
  <c r="G59" i="7"/>
  <c r="H59" i="7" s="1"/>
  <c r="G46" i="7"/>
  <c r="H46" i="7" s="1"/>
  <c r="G44" i="7"/>
  <c r="H44" i="7" s="1"/>
  <c r="G32" i="7"/>
  <c r="H32" i="7" s="1"/>
  <c r="G30" i="7"/>
  <c r="H30" i="7" s="1"/>
  <c r="G25" i="7"/>
  <c r="H25" i="7" s="1"/>
  <c r="G23" i="7"/>
  <c r="H23" i="7" s="1"/>
  <c r="G21" i="7"/>
  <c r="H21" i="7" s="1"/>
  <c r="G11" i="7"/>
  <c r="H11" i="7" s="1"/>
  <c r="G9" i="7"/>
  <c r="H9" i="7" s="1"/>
  <c r="G7" i="7"/>
  <c r="H7" i="7" s="1"/>
  <c r="G29" i="1"/>
  <c r="H29" i="1"/>
  <c r="G64" i="6"/>
  <c r="H64" i="6" s="1"/>
  <c r="G66" i="6"/>
  <c r="H66" i="6"/>
  <c r="G68" i="6"/>
  <c r="H68" i="6" s="1"/>
  <c r="G51" i="2"/>
  <c r="H51" i="2" s="1"/>
  <c r="G49" i="2"/>
  <c r="H49" i="2" s="1"/>
  <c r="G47" i="2"/>
  <c r="H47" i="2" s="1"/>
  <c r="Y48" i="6" l="1"/>
  <c r="Z48" i="6" s="1"/>
  <c r="Y46" i="6"/>
  <c r="Z46" i="6" s="1"/>
  <c r="Y44" i="6"/>
  <c r="Z44" i="6" s="1"/>
  <c r="Y42" i="6"/>
  <c r="Z42" i="6" s="1"/>
  <c r="Y40" i="6"/>
  <c r="Z40" i="6" s="1"/>
  <c r="Y38" i="6"/>
  <c r="Z38" i="6" s="1"/>
  <c r="Y36" i="6"/>
  <c r="Z36" i="6" s="1"/>
  <c r="Y34" i="6"/>
  <c r="Z34" i="6" s="1"/>
  <c r="Y32" i="6"/>
  <c r="Z32" i="6" s="1"/>
  <c r="Y30" i="6"/>
  <c r="Z30" i="6" s="1"/>
  <c r="Y28" i="6"/>
  <c r="Z28" i="6" s="1"/>
  <c r="Y26" i="6"/>
  <c r="Z26" i="6" s="1"/>
  <c r="Y24" i="6"/>
  <c r="Z24" i="6" s="1"/>
  <c r="Y22" i="6"/>
  <c r="Z22" i="6" s="1"/>
  <c r="Y20" i="6"/>
  <c r="Z20" i="6" s="1"/>
  <c r="Y18" i="6"/>
  <c r="Z18" i="6" s="1"/>
  <c r="Y16" i="6"/>
  <c r="Z16" i="6" s="1"/>
  <c r="Y14" i="6"/>
  <c r="Z14" i="6" s="1"/>
  <c r="Y12" i="6"/>
  <c r="Z12" i="6" s="1"/>
  <c r="Y10" i="6"/>
  <c r="Z10" i="6" s="1"/>
  <c r="Y8" i="6"/>
  <c r="Z8" i="6" s="1"/>
  <c r="Y6" i="6"/>
  <c r="Z6" i="6" s="1"/>
  <c r="Y4" i="6"/>
  <c r="Z4" i="6" s="1"/>
  <c r="Y2" i="6"/>
  <c r="Z2" i="6" s="1"/>
  <c r="P48" i="6"/>
  <c r="Q48" i="6" s="1"/>
  <c r="P46" i="6"/>
  <c r="Q46" i="6" s="1"/>
  <c r="P44" i="6"/>
  <c r="Q44" i="6" s="1"/>
  <c r="P42" i="6"/>
  <c r="Q42" i="6" s="1"/>
  <c r="P40" i="6"/>
  <c r="Q40" i="6" s="1"/>
  <c r="P38" i="6"/>
  <c r="Q38" i="6" s="1"/>
  <c r="P36" i="6"/>
  <c r="Q36" i="6" s="1"/>
  <c r="P34" i="6"/>
  <c r="Q34" i="6" s="1"/>
  <c r="P32" i="6"/>
  <c r="Q32" i="6" s="1"/>
  <c r="P30" i="6"/>
  <c r="Q30" i="6" s="1"/>
  <c r="P28" i="6"/>
  <c r="Q28" i="6" s="1"/>
  <c r="P26" i="6"/>
  <c r="Q26" i="6" s="1"/>
  <c r="P24" i="6"/>
  <c r="Q24" i="6" s="1"/>
  <c r="P22" i="6"/>
  <c r="Q22" i="6" s="1"/>
  <c r="P20" i="6"/>
  <c r="Q20" i="6" s="1"/>
  <c r="P18" i="6"/>
  <c r="Q18" i="6" s="1"/>
  <c r="P16" i="6"/>
  <c r="Q16" i="6" s="1"/>
  <c r="P14" i="6"/>
  <c r="Q14" i="6" s="1"/>
  <c r="P12" i="6"/>
  <c r="Q12" i="6" s="1"/>
  <c r="P10" i="6"/>
  <c r="Q10" i="6" s="1"/>
  <c r="P8" i="6"/>
  <c r="Q8" i="6" s="1"/>
  <c r="P6" i="6"/>
  <c r="Q6" i="6" s="1"/>
  <c r="P4" i="6"/>
  <c r="Q4" i="6" s="1"/>
  <c r="P2" i="6"/>
  <c r="Q2" i="6" s="1"/>
  <c r="G36" i="6"/>
  <c r="H36" i="6" s="1"/>
  <c r="G34" i="6"/>
  <c r="H34" i="6" s="1"/>
  <c r="G32" i="6"/>
  <c r="H32" i="6" s="1"/>
  <c r="G30" i="6"/>
  <c r="H30" i="6" s="1"/>
  <c r="G28" i="6"/>
  <c r="H28" i="6" s="1"/>
  <c r="G26" i="6"/>
  <c r="H26" i="6" s="1"/>
  <c r="G24" i="6"/>
  <c r="H24" i="6" s="1"/>
  <c r="G22" i="6"/>
  <c r="H22" i="6" s="1"/>
  <c r="G20" i="6"/>
  <c r="H20" i="6" s="1"/>
  <c r="G18" i="6"/>
  <c r="H18" i="6" s="1"/>
  <c r="G16" i="6"/>
  <c r="H16" i="6" s="1"/>
  <c r="G14" i="6"/>
  <c r="H14" i="6" s="1"/>
  <c r="G12" i="6"/>
  <c r="H12" i="6" s="1"/>
  <c r="G10" i="6"/>
  <c r="H10" i="6" s="1"/>
  <c r="G8" i="6"/>
  <c r="H8" i="6" s="1"/>
  <c r="G6" i="6"/>
  <c r="H6" i="6" s="1"/>
  <c r="G4" i="6"/>
  <c r="H4" i="6" s="1"/>
  <c r="G2" i="6"/>
  <c r="H2" i="6" s="1"/>
  <c r="G4" i="5"/>
  <c r="H4" i="5" s="1"/>
  <c r="G2" i="5"/>
  <c r="H2" i="5" s="1"/>
  <c r="G42" i="3"/>
  <c r="H42" i="3" s="1"/>
  <c r="G45" i="2"/>
  <c r="H45" i="2" s="1"/>
  <c r="G43" i="2"/>
  <c r="H43" i="2" s="1"/>
  <c r="G41" i="2"/>
  <c r="H41" i="2" s="1"/>
  <c r="G39" i="2"/>
  <c r="H39" i="2" s="1"/>
  <c r="G37" i="2"/>
  <c r="H37" i="2" s="1"/>
  <c r="G35" i="2"/>
  <c r="H35" i="2" s="1"/>
  <c r="G33" i="2"/>
  <c r="H33" i="2" s="1"/>
  <c r="G31" i="2"/>
  <c r="H31" i="2" s="1"/>
  <c r="G29" i="2"/>
  <c r="H29" i="2" s="1"/>
  <c r="G27" i="2"/>
  <c r="H27" i="2" s="1"/>
  <c r="G25" i="2"/>
  <c r="H25" i="2" s="1"/>
  <c r="G78" i="4"/>
  <c r="H78" i="4" s="1"/>
  <c r="G76" i="4"/>
  <c r="H76" i="4" s="1"/>
  <c r="G50" i="4"/>
  <c r="H50" i="4" s="1"/>
  <c r="G30" i="4"/>
  <c r="H30" i="4" s="1"/>
  <c r="G19" i="1"/>
  <c r="H19" i="1" s="1"/>
  <c r="G17" i="1"/>
  <c r="H17" i="1" s="1"/>
  <c r="G15" i="1"/>
  <c r="H15" i="1" s="1"/>
  <c r="G13" i="1"/>
  <c r="H13" i="1" s="1"/>
  <c r="G6" i="1"/>
  <c r="H6" i="1" s="1"/>
  <c r="G4" i="1"/>
  <c r="H4" i="1" s="1"/>
  <c r="G2" i="1"/>
  <c r="H2" i="1" s="1"/>
  <c r="G18" i="3" l="1"/>
  <c r="H18" i="3" s="1"/>
  <c r="G16" i="3"/>
  <c r="H16" i="3" s="1"/>
  <c r="G13" i="3"/>
  <c r="H13" i="3" s="1"/>
  <c r="G11" i="3"/>
  <c r="H11" i="3" s="1"/>
  <c r="G9" i="3"/>
  <c r="H9" i="3" s="1"/>
  <c r="G6" i="3"/>
  <c r="H6" i="3" s="1"/>
  <c r="G4" i="3"/>
  <c r="H4" i="3" s="1"/>
  <c r="G2" i="3"/>
  <c r="H2" i="3" s="1"/>
  <c r="G18" i="2"/>
  <c r="H18" i="2" s="1"/>
  <c r="G16" i="2"/>
  <c r="H16" i="2" s="1"/>
  <c r="G12" i="2"/>
  <c r="H12" i="2" s="1"/>
  <c r="G10" i="2"/>
  <c r="H10" i="2" s="1"/>
  <c r="G8" i="2"/>
  <c r="H8" i="2" s="1"/>
  <c r="G71" i="4" l="1"/>
  <c r="H71" i="4" s="1"/>
  <c r="G69" i="4"/>
  <c r="H69" i="4" s="1"/>
  <c r="G64" i="4"/>
  <c r="H64" i="4" s="1"/>
  <c r="G62" i="4"/>
  <c r="H62" i="4" s="1"/>
  <c r="G60" i="4"/>
  <c r="H60" i="4" s="1"/>
  <c r="G55" i="4"/>
  <c r="H55" i="4" s="1"/>
  <c r="G53" i="4"/>
  <c r="H53" i="4" s="1"/>
  <c r="G48" i="4"/>
  <c r="H48" i="4" s="1"/>
  <c r="G46" i="4"/>
  <c r="H46" i="4" s="1"/>
  <c r="G44" i="4"/>
  <c r="H44" i="4" s="1"/>
  <c r="G39" i="4"/>
  <c r="H39" i="4" s="1"/>
  <c r="G37" i="4"/>
  <c r="H37" i="4" s="1"/>
  <c r="G35" i="4"/>
  <c r="H35" i="4" s="1"/>
  <c r="G33" i="4"/>
  <c r="H33" i="4" s="1"/>
  <c r="G24" i="4"/>
  <c r="H24" i="4" s="1"/>
  <c r="G22" i="4"/>
  <c r="H22" i="4" s="1"/>
  <c r="G20" i="4"/>
  <c r="H20" i="4" s="1"/>
  <c r="G18" i="4"/>
  <c r="H18" i="4" s="1"/>
  <c r="G11" i="4"/>
  <c r="H11" i="4" s="1"/>
  <c r="G9" i="4"/>
  <c r="H9" i="4" s="1"/>
  <c r="G4" i="4"/>
  <c r="H4" i="4" s="1"/>
  <c r="G6" i="2" l="1"/>
  <c r="H6" i="2" s="1"/>
  <c r="G4" i="2"/>
  <c r="H4" i="2" s="1"/>
  <c r="G2" i="2"/>
  <c r="H2" i="2" s="1"/>
</calcChain>
</file>

<file path=xl/sharedStrings.xml><?xml version="1.0" encoding="utf-8"?>
<sst xmlns="http://schemas.openxmlformats.org/spreadsheetml/2006/main" count="10019" uniqueCount="1463">
  <si>
    <t>Experiment #</t>
  </si>
  <si>
    <t>Sample Name</t>
  </si>
  <si>
    <t>Type</t>
  </si>
  <si>
    <t>Sample  </t>
  </si>
  <si>
    <t>Target Name</t>
  </si>
  <si>
    <t>Mean Equivalent Cq</t>
  </si>
  <si>
    <t>human/mouse ratio (Ct)</t>
  </si>
  <si>
    <t>mouse contamination</t>
  </si>
  <si>
    <t>NM Exp #</t>
  </si>
  <si>
    <t>Sample name</t>
  </si>
  <si>
    <t>Exp#</t>
  </si>
  <si>
    <t>PPX submission date</t>
  </si>
  <si>
    <t>PPX result</t>
  </si>
  <si>
    <t>EWS 01.22.001</t>
  </si>
  <si>
    <t>MAST 623E - T</t>
  </si>
  <si>
    <t>Tumor</t>
  </si>
  <si>
    <t>Sample 20</t>
  </si>
  <si>
    <t>hGAPDH</t>
  </si>
  <si>
    <t>NM_08.22.24</t>
  </si>
  <si>
    <t>mGapdh</t>
  </si>
  <si>
    <t>MAST 623E S7</t>
  </si>
  <si>
    <t>organoids</t>
  </si>
  <si>
    <t>Sample 21</t>
  </si>
  <si>
    <t xml:space="preserve">MAST 623E S7 (EWS) </t>
  </si>
  <si>
    <t>PASSED</t>
  </si>
  <si>
    <t>EWS 01.22.002</t>
  </si>
  <si>
    <t>MAST 623E T</t>
  </si>
  <si>
    <t>Sample 6</t>
  </si>
  <si>
    <t>NM_8.22.51</t>
  </si>
  <si>
    <t> </t>
  </si>
  <si>
    <t>Organoids</t>
  </si>
  <si>
    <t>Sample 7</t>
  </si>
  <si>
    <t>MAST 623E p1</t>
  </si>
  <si>
    <t>Cells</t>
  </si>
  <si>
    <t>Sample 8</t>
  </si>
  <si>
    <t>MAST 623E p1 (EWS)</t>
  </si>
  <si>
    <t>EWS 01.22.003</t>
  </si>
  <si>
    <t>MAST 623F T</t>
  </si>
  <si>
    <t>tumor</t>
  </si>
  <si>
    <t>Sample 18</t>
  </si>
  <si>
    <t>NM_8.22.35</t>
  </si>
  <si>
    <t>MAST 623F S9</t>
  </si>
  <si>
    <t>Sample 19</t>
  </si>
  <si>
    <t>MAST 623F S9 (EWS)</t>
  </si>
  <si>
    <t>MAST 623F p1</t>
  </si>
  <si>
    <t>cells</t>
  </si>
  <si>
    <t>MAST 623F p3 (EWS) - PASSED</t>
  </si>
  <si>
    <t>EWS 01.22.005</t>
  </si>
  <si>
    <t>MAST 496 T</t>
  </si>
  <si>
    <t>Sample 11</t>
  </si>
  <si>
    <t>NM_8.22.41</t>
  </si>
  <si>
    <t>MAST 496 S9</t>
  </si>
  <si>
    <t>Sample 12</t>
  </si>
  <si>
    <t>MAST 496 S7 (EWS) - PASSED</t>
  </si>
  <si>
    <t>MAST 496 p1</t>
  </si>
  <si>
    <t>Sample 13</t>
  </si>
  <si>
    <t>MAST 496 p1 (EWS) - PASSED</t>
  </si>
  <si>
    <t>MAST 496 p3 (EWS) - PASSED</t>
  </si>
  <si>
    <t>MAST 496 S7p3T</t>
  </si>
  <si>
    <t>Sample 10</t>
  </si>
  <si>
    <t>NM_8.22.55</t>
  </si>
  <si>
    <t>EWS 01.22.006</t>
  </si>
  <si>
    <t>MAST 496 S7</t>
  </si>
  <si>
    <t>Sample 38</t>
  </si>
  <si>
    <t>NM_08.23.20</t>
  </si>
  <si>
    <t>Sample 39</t>
  </si>
  <si>
    <t>EWS 01.22.007</t>
  </si>
  <si>
    <t>MAST 482D T</t>
  </si>
  <si>
    <t>Sample 1</t>
  </si>
  <si>
    <t>NM_8.22.46</t>
  </si>
  <si>
    <t>MAST 482D S7</t>
  </si>
  <si>
    <t>Sample 2</t>
  </si>
  <si>
    <t>MAST 482D S7 (EWS) - PASSED</t>
  </si>
  <si>
    <t>MAST 482D p1</t>
  </si>
  <si>
    <t>Sample 3</t>
  </si>
  <si>
    <t>MAST 482D p1 (EWS) - PASSED</t>
  </si>
  <si>
    <t>10/25/222</t>
  </si>
  <si>
    <t xml:space="preserve">MAST 482D s7p3T </t>
  </si>
  <si>
    <t>NM_8.22.59</t>
  </si>
  <si>
    <t>EWS 01.22.009</t>
  </si>
  <si>
    <t>MAST 659D T</t>
  </si>
  <si>
    <t>Sample 4</t>
  </si>
  <si>
    <t>MAST 659D S7</t>
  </si>
  <si>
    <t>Sample 5</t>
  </si>
  <si>
    <t>MAST 659D S7 (EWS) - PASSED</t>
  </si>
  <si>
    <t>PASSED 
(trisomy at one locus)</t>
  </si>
  <si>
    <r>
      <t>MAST</t>
    </r>
    <r>
      <rPr>
        <sz val="11"/>
        <color theme="1"/>
        <rFont val="Inherit"/>
        <charset val="1"/>
      </rPr>
      <t> </t>
    </r>
    <r>
      <rPr>
        <sz val="11"/>
        <color rgb="FF070706"/>
        <rFont val="Inherit"/>
        <charset val="1"/>
      </rPr>
      <t>659D</t>
    </r>
    <r>
      <rPr>
        <sz val="11"/>
        <color theme="1"/>
        <rFont val="Inherit"/>
        <charset val="1"/>
      </rPr>
      <t> p1</t>
    </r>
  </si>
  <si>
    <t>MAST 659D p1 (EWS) - PASSED</t>
  </si>
  <si>
    <t>MAST 659D S7p3T</t>
  </si>
  <si>
    <t>Sample 30</t>
  </si>
  <si>
    <t>NM_8.23.02</t>
  </si>
  <si>
    <t>Parafemoral injection</t>
  </si>
  <si>
    <t>EWS 01.22.011</t>
  </si>
  <si>
    <t>MAST 297A T</t>
  </si>
  <si>
    <t>MAST 297A S7</t>
  </si>
  <si>
    <t>MAST 297A S7 (EWS) - PASSED</t>
  </si>
  <si>
    <t>MAST 297A p1 (EWS)</t>
  </si>
  <si>
    <t>Sample 25 (NM_8.22.59)</t>
  </si>
  <si>
    <t>MAST 297A p1 (EWS) - PASSED</t>
  </si>
  <si>
    <t>MAST 297A S7p3T</t>
  </si>
  <si>
    <t>Sample 16</t>
  </si>
  <si>
    <t>NM_08.23.24</t>
  </si>
  <si>
    <t>EWS 01.22.013</t>
  </si>
  <si>
    <t>MAST 659B T</t>
  </si>
  <si>
    <t>MAST 659B S7</t>
  </si>
  <si>
    <t>Sample 9</t>
  </si>
  <si>
    <t>MAST 659B S7 (EWS) - PASSED</t>
  </si>
  <si>
    <t>MAST 659B p1</t>
  </si>
  <si>
    <t>Sample 31</t>
  </si>
  <si>
    <t>MAST 659B p1 (EWS) - PASSED</t>
  </si>
  <si>
    <t>EWS 01.22.015</t>
  </si>
  <si>
    <t>MAST 601E T</t>
  </si>
  <si>
    <t>Sample 32</t>
  </si>
  <si>
    <t>MAST 601E S7</t>
  </si>
  <si>
    <t>Sample 33</t>
  </si>
  <si>
    <t>MAST 601E S7 (EWS) - PASSED</t>
  </si>
  <si>
    <t>MAST 601E p1</t>
  </si>
  <si>
    <t>Sample 34</t>
  </si>
  <si>
    <t>MAST 601E p1 (EWS) - PASSED</t>
  </si>
  <si>
    <t>MAST 601E P3T</t>
  </si>
  <si>
    <t>NM_08.23.28</t>
  </si>
  <si>
    <t>EWS 01.23.017</t>
  </si>
  <si>
    <t>MAST 619 T</t>
  </si>
  <si>
    <t>NM_8.23.08</t>
  </si>
  <si>
    <t>MAST 619 S7</t>
  </si>
  <si>
    <t>MAST 619 S7 (EWS) - PASSED</t>
  </si>
  <si>
    <t>MAST 619 p1</t>
  </si>
  <si>
    <t>MAST 619 p1 (EWS) - PASSED</t>
  </si>
  <si>
    <t xml:space="preserve">EWS 01.23.017 </t>
  </si>
  <si>
    <t>EWS 01.23.019</t>
  </si>
  <si>
    <t>MAST 297B T</t>
  </si>
  <si>
    <t>NM_8.23.11</t>
  </si>
  <si>
    <t>MAST 297B S7</t>
  </si>
  <si>
    <t>MAST 297B S7 (EWS) - PASSED</t>
  </si>
  <si>
    <t>MAST 297B p1</t>
  </si>
  <si>
    <t>MAST 297B p1 (EWS) - PASSED</t>
  </si>
  <si>
    <t xml:space="preserve">EWS 01.23.019 </t>
  </si>
  <si>
    <t>EWS 01.22.019</t>
  </si>
  <si>
    <t>MAST 297B P3T</t>
  </si>
  <si>
    <t>EWS 01.23.021</t>
  </si>
  <si>
    <t>MAST 358A T</t>
  </si>
  <si>
    <t>MAST 358A S7</t>
  </si>
  <si>
    <t>MAST 358A S7 (EWS) - PASSED</t>
  </si>
  <si>
    <t xml:space="preserve">EWS 01.23.021 </t>
  </si>
  <si>
    <t>MAST 358A p1</t>
  </si>
  <si>
    <t>MAST 358A p1 (EWS) - PASSED</t>
  </si>
  <si>
    <t>MAST 358A S7p3T</t>
  </si>
  <si>
    <t>NM_08.23.33</t>
  </si>
  <si>
    <t>EWS 01.23.023</t>
  </si>
  <si>
    <t>MAST 623D T</t>
  </si>
  <si>
    <t>MAST 623D S7</t>
  </si>
  <si>
    <t>organoid</t>
  </si>
  <si>
    <t>MAST 623D p1</t>
  </si>
  <si>
    <t>MAST 623D p1 (EWS) - PASSED</t>
  </si>
  <si>
    <t>EWS 01.23.024</t>
  </si>
  <si>
    <t>NM Exp#</t>
  </si>
  <si>
    <t>NBL 01.21.001</t>
  </si>
  <si>
    <t>MAST 3 T</t>
  </si>
  <si>
    <t>NM_08.22.23</t>
  </si>
  <si>
    <t>MAST 3 S7 (NBL)</t>
  </si>
  <si>
    <t>MAST 3 p1 (NBL)</t>
  </si>
  <si>
    <t>NBL 01.22.001</t>
  </si>
  <si>
    <t>MAST 3 S7p3T</t>
  </si>
  <si>
    <t>MAST 3 S7P3T (NBL) - PASSED</t>
  </si>
  <si>
    <t>NBL 01.22.002</t>
  </si>
  <si>
    <t>MAST 3 p1 (NBL) - PASSED</t>
  </si>
  <si>
    <t>NBL 01.21.002</t>
  </si>
  <si>
    <t>NBL 01.21.003</t>
  </si>
  <si>
    <t>MAST 109 T</t>
  </si>
  <si>
    <t>MAST 109 S7 (NBL)</t>
  </si>
  <si>
    <t>MAST 109 p0 (NBL)</t>
  </si>
  <si>
    <t>MAST 109 p1 (NBL)</t>
  </si>
  <si>
    <t>MAST 109 S7p3T</t>
  </si>
  <si>
    <t>Sample 17</t>
  </si>
  <si>
    <t>NBL 01.23.004</t>
  </si>
  <si>
    <t>MAST 109 S7</t>
  </si>
  <si>
    <t>MAST 109 p3 (NBL) - PASSED</t>
  </si>
  <si>
    <t>NBL 01.22.004</t>
  </si>
  <si>
    <t>NBL 01.22.005</t>
  </si>
  <si>
    <t>MAST 501A T</t>
  </si>
  <si>
    <t>Sample 24</t>
  </si>
  <si>
    <t>MAST 501A S7</t>
  </si>
  <si>
    <t>Sample 14</t>
  </si>
  <si>
    <t>MAST 501A S7 (NBL) - PASSED</t>
  </si>
  <si>
    <t>MAST 501A p1</t>
  </si>
  <si>
    <t>Sample 15</t>
  </si>
  <si>
    <t>MAST 501A p1 (NBL) - PASSED</t>
  </si>
  <si>
    <t>MAST 501A p3 (NBL) - PASSED</t>
  </si>
  <si>
    <t>NBL 01.22.006 </t>
  </si>
  <si>
    <t>MAST 501A T </t>
  </si>
  <si>
    <t>Tumor </t>
  </si>
  <si>
    <t>NM_8.22.38</t>
  </si>
  <si>
    <t>MAST 501A S7 </t>
  </si>
  <si>
    <t> Spheroid </t>
  </si>
  <si>
    <t>NBL 01.22.006</t>
  </si>
  <si>
    <t> MAST 501A P1 </t>
  </si>
  <si>
    <t>Cells </t>
  </si>
  <si>
    <t>NBL 01.23.006</t>
  </si>
  <si>
    <t>MAST 501A S7p3T</t>
  </si>
  <si>
    <t>NBL 01.22.011</t>
  </si>
  <si>
    <t>NBL 01.23.007</t>
  </si>
  <si>
    <t>MAST 630A T</t>
  </si>
  <si>
    <t>Sample 44</t>
  </si>
  <si>
    <t>NM_08.23.17</t>
  </si>
  <si>
    <t>MAT 630A S7</t>
  </si>
  <si>
    <t>Sample 45</t>
  </si>
  <si>
    <t>MAST 630A S7 (NBL) - PASSED</t>
  </si>
  <si>
    <t>NBL 01.22.007</t>
  </si>
  <si>
    <t>NBL 01.22.008</t>
  </si>
  <si>
    <t>MAST 630A S7</t>
  </si>
  <si>
    <t>MAST 630A p1</t>
  </si>
  <si>
    <t>NBL 01.22.009 </t>
  </si>
  <si>
    <t>MAST 97 T  </t>
  </si>
  <si>
    <t>MAST 97 S7 </t>
  </si>
  <si>
    <t>Spheroid  </t>
  </si>
  <si>
    <t>MAST 97 S7 (NBL) - PASSED</t>
  </si>
  <si>
    <t>NBL 01.22.009</t>
  </si>
  <si>
    <r>
      <t>MAST</t>
    </r>
    <r>
      <rPr>
        <sz val="11"/>
        <color rgb="FF000000"/>
        <rFont val="Inherit"/>
        <charset val="1"/>
      </rPr>
      <t> </t>
    </r>
    <r>
      <rPr>
        <sz val="11"/>
        <color rgb="FF070706"/>
        <rFont val="Inherit"/>
        <charset val="1"/>
      </rPr>
      <t>97</t>
    </r>
    <r>
      <rPr>
        <sz val="11"/>
        <color rgb="FF000000"/>
        <rFont val="Inherit"/>
        <charset val="1"/>
      </rPr>
      <t> P1 </t>
    </r>
  </si>
  <si>
    <t>MAST 97 p2 (NBL) - PASSED</t>
  </si>
  <si>
    <t>NBL 01.23.009</t>
  </si>
  <si>
    <t>MAST 97 S7p3T</t>
  </si>
  <si>
    <t>NBL 01.22.010</t>
  </si>
  <si>
    <t>MAST 97 T</t>
  </si>
  <si>
    <t>Sample 29</t>
  </si>
  <si>
    <t>NM_08.23.12</t>
  </si>
  <si>
    <t>MAST 97 S7</t>
  </si>
  <si>
    <t>orgnoids</t>
  </si>
  <si>
    <t>MAST 97 p1</t>
  </si>
  <si>
    <t>MAST 97 p1 (NBL) - PASSED</t>
  </si>
  <si>
    <t>NBL 01.23.010</t>
  </si>
  <si>
    <t>MAST 97 p3</t>
  </si>
  <si>
    <t>Sample 23</t>
  </si>
  <si>
    <t>NM_08.23.31</t>
  </si>
  <si>
    <t>NBL 01.22.013</t>
  </si>
  <si>
    <t>MAST 465B T</t>
  </si>
  <si>
    <t>MAST 465B S7</t>
  </si>
  <si>
    <t>MAST 465B S7 (NBL) - PASSED</t>
  </si>
  <si>
    <t>MAST 465B p1</t>
  </si>
  <si>
    <t>MAST 465B p1 (NBL) - PASSED</t>
  </si>
  <si>
    <t xml:space="preserve">NBL 01.23.013 </t>
  </si>
  <si>
    <t>NBL 01.23.013</t>
  </si>
  <si>
    <t>MAST 465B p3</t>
  </si>
  <si>
    <t>Sample 26</t>
  </si>
  <si>
    <t>NBL 01.23.014</t>
  </si>
  <si>
    <t>MAST 287 T</t>
  </si>
  <si>
    <t>NM_08.23.38</t>
  </si>
  <si>
    <t>MAST 287 S7</t>
  </si>
  <si>
    <t>MAST 287 S7 (NBL) - PASSED</t>
  </si>
  <si>
    <t>MAST 287 p1</t>
  </si>
  <si>
    <t>NBL 01.23.015</t>
  </si>
  <si>
    <t>MAST 532 T</t>
  </si>
  <si>
    <t xml:space="preserve">MAST 532 S7 </t>
  </si>
  <si>
    <t>MAST 532 S7 (NBL) - PASSED</t>
  </si>
  <si>
    <t>NBL 01.22.015</t>
  </si>
  <si>
    <t>MAST 532 p1</t>
  </si>
  <si>
    <t>NBL 01.23.016</t>
  </si>
  <si>
    <t>NBL 01.23.017</t>
  </si>
  <si>
    <t>MAST 191B T</t>
  </si>
  <si>
    <t>MAST 191B S7</t>
  </si>
  <si>
    <t>MAST 191B S7 (NBL) - PASSED</t>
  </si>
  <si>
    <t>NBL 01.22.017</t>
  </si>
  <si>
    <t>MAST 191B p1</t>
  </si>
  <si>
    <t>MAST 191B p1 (NBL) - PASSED</t>
  </si>
  <si>
    <t xml:space="preserve">NBL 01.23.017 </t>
  </si>
  <si>
    <t>MAST 191B p3</t>
  </si>
  <si>
    <t>NBL 01.23.018</t>
  </si>
  <si>
    <t>MAST 191B p1 (NBL) - PASSED
one tri-allele but passes QC</t>
  </si>
  <si>
    <t>NBL 01.22.019</t>
  </si>
  <si>
    <t>MAST 503 T</t>
  </si>
  <si>
    <t>NM_8.22.64</t>
  </si>
  <si>
    <t>MAST 503 S7</t>
  </si>
  <si>
    <t>MAST 503 S7 (NBL) - PASSED</t>
  </si>
  <si>
    <t>MAST 503 p1</t>
  </si>
  <si>
    <t>MAST 503 p1 (NBL) - PASSED</t>
  </si>
  <si>
    <t>NBL 01.22.021</t>
  </si>
  <si>
    <t>MAST 394C T</t>
  </si>
  <si>
    <t>MAST 394C S7</t>
  </si>
  <si>
    <t>MAST 394C S7 (NBL) - PASSED</t>
  </si>
  <si>
    <t>MAST 394C p1</t>
  </si>
  <si>
    <t>NBL 01.23.022</t>
  </si>
  <si>
    <t xml:space="preserve">NBL 01.23.022 </t>
  </si>
  <si>
    <t>Sample 25</t>
  </si>
  <si>
    <t>NBL 01.22.023</t>
  </si>
  <si>
    <t xml:space="preserve">MAST 448 T </t>
  </si>
  <si>
    <t>MAST 448?</t>
  </si>
  <si>
    <t>MAST 448 S7</t>
  </si>
  <si>
    <t>MAST 448 S7 (NBL) - PASSED</t>
  </si>
  <si>
    <t>NBL 01.23.023</t>
  </si>
  <si>
    <t>MAST 448 p1</t>
  </si>
  <si>
    <t>MAST 448 p1 (NBL) - PASSED</t>
  </si>
  <si>
    <t xml:space="preserve">NBL 01.23.023 </t>
  </si>
  <si>
    <t>NBL 01.23.024</t>
  </si>
  <si>
    <t>MAST 448 T</t>
  </si>
  <si>
    <t>NM_8.23.40</t>
  </si>
  <si>
    <t>NBL 01.23.025</t>
  </si>
  <si>
    <t>MAST 603 T</t>
  </si>
  <si>
    <t>MAST 603 - T - FAILED</t>
  </si>
  <si>
    <t>FAILED</t>
  </si>
  <si>
    <t>MAST 603 S7</t>
  </si>
  <si>
    <t>Sample 27</t>
  </si>
  <si>
    <t>MAST 603 S7 (NBL) - FAILED</t>
  </si>
  <si>
    <t xml:space="preserve">NBL 01.23.025 </t>
  </si>
  <si>
    <t>MAST 603 p1</t>
  </si>
  <si>
    <t>Sample 28</t>
  </si>
  <si>
    <t>NBL 01.23.026</t>
  </si>
  <si>
    <t>Sample 41</t>
  </si>
  <si>
    <t>Sample 42</t>
  </si>
  <si>
    <t>Sample 43</t>
  </si>
  <si>
    <t>NBL 01.23.027</t>
  </si>
  <si>
    <t>MAST 530A T</t>
  </si>
  <si>
    <t>Sample 35</t>
  </si>
  <si>
    <t>MAST 530A S7</t>
  </si>
  <si>
    <t>Sample 36</t>
  </si>
  <si>
    <t>MAST 530A p1</t>
  </si>
  <si>
    <t>Sample 37</t>
  </si>
  <si>
    <t>NBL 01.23.028</t>
  </si>
  <si>
    <t>NBL 01.23.029</t>
  </si>
  <si>
    <t>MAST 501F T</t>
  </si>
  <si>
    <t>MAST 501F S7</t>
  </si>
  <si>
    <t>MAST 501F S7 (NBL) - PASSED</t>
  </si>
  <si>
    <t>MAST 501F p1</t>
  </si>
  <si>
    <t>Sample 40</t>
  </si>
  <si>
    <t>MAST 501F p1 (NBL) - PASSED</t>
  </si>
  <si>
    <t>MAST 501F p3</t>
  </si>
  <si>
    <t>NBL 01.23.031</t>
  </si>
  <si>
    <t>MAST 501E T</t>
  </si>
  <si>
    <t>MAST 501E S7</t>
  </si>
  <si>
    <t>MAST 501E S7 (NBL) - PASSED</t>
  </si>
  <si>
    <t>MAST 501E p1</t>
  </si>
  <si>
    <t>MAST 501E p1 (NBL) - PASSED</t>
  </si>
  <si>
    <t>MAST 501E p3</t>
  </si>
  <si>
    <t>NBL 01.23.033</t>
  </si>
  <si>
    <t>MAST 501C T</t>
  </si>
  <si>
    <t>MAST 501C S7</t>
  </si>
  <si>
    <t>MAST 501C p1</t>
  </si>
  <si>
    <t>Sample 22</t>
  </si>
  <si>
    <t>MAST 501C p1 (NBL) - PASSED</t>
  </si>
  <si>
    <t>NBL 01.23.035</t>
  </si>
  <si>
    <t>NBL 01.23.036</t>
  </si>
  <si>
    <t>MAST 532 S7</t>
  </si>
  <si>
    <t>NBL 01.23.037</t>
  </si>
  <si>
    <t>MAST 530A p1 (NBL) - PASSED</t>
  </si>
  <si>
    <t>NBL 01.23.039</t>
  </si>
  <si>
    <t>NBL 01.23.042</t>
  </si>
  <si>
    <t>MAST 530B T</t>
  </si>
  <si>
    <t>MAST 530B S7</t>
  </si>
  <si>
    <t>MAST 530B p1</t>
  </si>
  <si>
    <t>xcggzzzx</t>
  </si>
  <si>
    <t>NBL 01.23.045</t>
  </si>
  <si>
    <t>MAST 275 p2</t>
  </si>
  <si>
    <t>01.30.2024 MP</t>
  </si>
  <si>
    <t>EO_06.24.004</t>
  </si>
  <si>
    <t>MAST 275 s7</t>
  </si>
  <si>
    <t>11.21.2023 MP</t>
  </si>
  <si>
    <t>NBL 01.23.047</t>
  </si>
  <si>
    <t>MAST 465A s7</t>
  </si>
  <si>
    <t>MASt 465A p2</t>
  </si>
  <si>
    <t>12.08.2023 MP</t>
  </si>
  <si>
    <t>Injection Method</t>
  </si>
  <si>
    <t>JDM 01.22.011</t>
  </si>
  <si>
    <t>MAST 492A p1 (-DEXA) +flow</t>
  </si>
  <si>
    <t>MAST 492A p1 (-DEXA) -flow</t>
  </si>
  <si>
    <t>OST 01.21.001</t>
  </si>
  <si>
    <t>MAST 152 T</t>
  </si>
  <si>
    <t>NM_8.22.14/15</t>
  </si>
  <si>
    <t>BM</t>
  </si>
  <si>
    <t>MAST 152 S7 (OST)</t>
  </si>
  <si>
    <t>MAST 152 S7 (OS)</t>
  </si>
  <si>
    <t>3D2D_OST_01.21.001</t>
  </si>
  <si>
    <t>MAST 152 p1 (OST)</t>
  </si>
  <si>
    <t>MAST 152 p3 (OS) - resubmission</t>
  </si>
  <si>
    <t xml:space="preserve">FAILED
</t>
  </si>
  <si>
    <t>OST 01.22.002</t>
  </si>
  <si>
    <t>MAST 152 S7</t>
  </si>
  <si>
    <t xml:space="preserve"> </t>
  </si>
  <si>
    <t>MAST 152 S7 (OS) - FAILED</t>
  </si>
  <si>
    <t>MAST 152 p1</t>
  </si>
  <si>
    <t>OST 01.21.003</t>
  </si>
  <si>
    <t>MAST 634 T</t>
  </si>
  <si>
    <t>OST Sample 4</t>
  </si>
  <si>
    <t>NM_08.22.21/22</t>
  </si>
  <si>
    <t>MAST 634 S7 (OST)</t>
  </si>
  <si>
    <t>OST Sample 5</t>
  </si>
  <si>
    <t>MAST 634 S7 (OS)</t>
  </si>
  <si>
    <t>MAST 634 p1 (OST)</t>
  </si>
  <si>
    <t>OST Sample 6</t>
  </si>
  <si>
    <t>MAST 634 p3 (OS)</t>
  </si>
  <si>
    <t>OST 01.22.003</t>
  </si>
  <si>
    <t>MAST 634 S7p3T</t>
  </si>
  <si>
    <t>OST 01.21.005</t>
  </si>
  <si>
    <t>MAST 492B T</t>
  </si>
  <si>
    <t>OST Sample 7</t>
  </si>
  <si>
    <t>OST 01.21.006</t>
  </si>
  <si>
    <t>MAST 492B S7 (OST)</t>
  </si>
  <si>
    <t>OST Sample 8</t>
  </si>
  <si>
    <t>OST 01.22.006</t>
  </si>
  <si>
    <t>MAST 492B p1 (OST)</t>
  </si>
  <si>
    <t>MAST 492B p3 (OS)</t>
  </si>
  <si>
    <r>
      <t>FAILED</t>
    </r>
    <r>
      <rPr>
        <b/>
        <sz val="11"/>
        <color rgb="FF000000"/>
        <rFont val="Calibri"/>
        <family val="2"/>
      </rPr>
      <t xml:space="preserve">
Note: Previously, p3 samples have failed the test, but P3T tumors pass the test. Therefore, MJ plans to test 2D and S7P3T samples if available</t>
    </r>
  </si>
  <si>
    <t>OST 01.22.007</t>
  </si>
  <si>
    <t>MAST 470C T</t>
  </si>
  <si>
    <t>MAST 470C S7</t>
  </si>
  <si>
    <t>MAST 470C p1</t>
  </si>
  <si>
    <t>MAST 470C p3 (OS)</t>
  </si>
  <si>
    <t>OST 01.22.009</t>
  </si>
  <si>
    <t>MAST 553 T</t>
  </si>
  <si>
    <t>PF</t>
  </si>
  <si>
    <t>MAST 553 S7</t>
  </si>
  <si>
    <t>OST 01.22.010 </t>
  </si>
  <si>
    <t>MAST 553 T </t>
  </si>
  <si>
    <t>MAST 553 S7  </t>
  </si>
  <si>
    <t>Spheroid </t>
  </si>
  <si>
    <r>
      <t>OST</t>
    </r>
    <r>
      <rPr>
        <sz val="11"/>
        <color rgb="FF000000"/>
        <rFont val="Inherit"/>
        <charset val="1"/>
      </rPr>
      <t> 01.22.</t>
    </r>
    <r>
      <rPr>
        <sz val="11"/>
        <color rgb="FF070706"/>
        <rFont val="Inherit"/>
        <charset val="1"/>
      </rPr>
      <t>010</t>
    </r>
    <r>
      <rPr>
        <sz val="11"/>
        <color rgb="FF000000"/>
        <rFont val="Inherit"/>
        <charset val="1"/>
      </rPr>
      <t> </t>
    </r>
  </si>
  <si>
    <t>MAST 553 P1 </t>
  </si>
  <si>
    <t>MAST 553 p3 (OS) - PASSED</t>
  </si>
  <si>
    <t>OST 01.22.010</t>
  </si>
  <si>
    <t>OST 01.23.010</t>
  </si>
  <si>
    <t>MAST 553 S7p3T</t>
  </si>
  <si>
    <t>OST 01.22.011</t>
  </si>
  <si>
    <t>MAST 470A T</t>
  </si>
  <si>
    <t xml:space="preserve">MAST 470A S7 </t>
  </si>
  <si>
    <t>MAST 470A S7 (OS)</t>
  </si>
  <si>
    <t>MAST 470A p1</t>
  </si>
  <si>
    <t>MAST 470A p3 (OS)</t>
  </si>
  <si>
    <t>FAILED
Note: Previously, p3 samples have failed the test, but P3T tumors pass the test. Therefore, MJ plans to test 2D and S7P3T samples if available</t>
  </si>
  <si>
    <t>OST 01.22.012</t>
  </si>
  <si>
    <t>MAST 470A S8</t>
  </si>
  <si>
    <t xml:space="preserve">MAST 470A S8 (OS) </t>
  </si>
  <si>
    <t>MAST 470A p3 (OS) - FAILED</t>
  </si>
  <si>
    <t>OST 01.22.013</t>
  </si>
  <si>
    <t>MAST 586 T</t>
  </si>
  <si>
    <t>MAST 586 S7</t>
  </si>
  <si>
    <t>MAST 586 S7 (OS)</t>
  </si>
  <si>
    <t>MAST 586 p2 (OS) - PASSED</t>
  </si>
  <si>
    <t>OST 01.22.015</t>
  </si>
  <si>
    <t>MAST 597 T</t>
  </si>
  <si>
    <t>MAST 597 - T</t>
  </si>
  <si>
    <t>MAST 597 S7</t>
  </si>
  <si>
    <t>MAST 597 p1</t>
  </si>
  <si>
    <t>MAST 597 p1 (OS)</t>
  </si>
  <si>
    <t>OST 01.22.016</t>
  </si>
  <si>
    <t>OST 01.22.017</t>
  </si>
  <si>
    <t>MAST 229 T</t>
  </si>
  <si>
    <t>MAST 229 S7</t>
  </si>
  <si>
    <t>MAST 229 S7 (OS)</t>
  </si>
  <si>
    <t>MAST 229 p1</t>
  </si>
  <si>
    <t>OST 01.22.018</t>
  </si>
  <si>
    <t>NM_8.22.53</t>
  </si>
  <si>
    <t>MAST 229 - T - PASSED</t>
  </si>
  <si>
    <t>MAST 229 S7 Unt</t>
  </si>
  <si>
    <t>MAST 229 S7 untreated (OS) - PASSED</t>
  </si>
  <si>
    <t>MAST 229 S7 Human</t>
  </si>
  <si>
    <t>MAST 229 S7 depleted (OS) - PASSED</t>
  </si>
  <si>
    <t>MAST 229 p1 Unt</t>
  </si>
  <si>
    <t>MAST 229 p1 Human</t>
  </si>
  <si>
    <t>OST 01.22.019</t>
  </si>
  <si>
    <t>MAST 389 T</t>
  </si>
  <si>
    <t>MAST 389 S7</t>
  </si>
  <si>
    <t xml:space="preserve">MAST 389 S7 (OS) </t>
  </si>
  <si>
    <t>MAST 389 S7p3T</t>
  </si>
  <si>
    <t>MAST 389 S7P3T (OS) - PASSED [BM injection]</t>
  </si>
  <si>
    <t>OST 01.22.020</t>
  </si>
  <si>
    <t>MAST 389 S7 (OS)</t>
  </si>
  <si>
    <t>MAST 389 p1</t>
  </si>
  <si>
    <t>3D2D_OST 01.22.023</t>
  </si>
  <si>
    <t>MAST 492A-T</t>
  </si>
  <si>
    <t>Tumor cells</t>
  </si>
  <si>
    <t>NM_8.22.30</t>
  </si>
  <si>
    <t>BM**</t>
  </si>
  <si>
    <t>Tumor was 
next to femur</t>
  </si>
  <si>
    <t>OST 01.22.023</t>
  </si>
  <si>
    <t>MAST 492A S7 SkOS</t>
  </si>
  <si>
    <t>Spheroids</t>
  </si>
  <si>
    <t>MAST 492A S7 OS3 (+) Dexa</t>
  </si>
  <si>
    <t>MAST 492A S7 OS3 (-) Dexa</t>
  </si>
  <si>
    <t>MAST 492A S7 (OS3-dexa)</t>
  </si>
  <si>
    <t>MAST 492A p1 (+DEXA)</t>
  </si>
  <si>
    <t>OST 01.22.024</t>
  </si>
  <si>
    <t>MAST 492A T</t>
  </si>
  <si>
    <t>MAST 492A S7</t>
  </si>
  <si>
    <t>MAST 492A p1 (OS3)</t>
  </si>
  <si>
    <t>OST 01.22.025 </t>
  </si>
  <si>
    <t>MAST 459A T </t>
  </si>
  <si>
    <t>MAST 459A S7 </t>
  </si>
  <si>
    <t>MAST 459A S7 (OS) - PASSED</t>
  </si>
  <si>
    <t>OST 01.22.025</t>
  </si>
  <si>
    <t>MAST 459A P1 </t>
  </si>
  <si>
    <t>Cells  </t>
  </si>
  <si>
    <t>MAST 459A p1 (OS) - PASSED</t>
  </si>
  <si>
    <t>MAST 459A p3 (OS) - FAILED
Will resubmit to confirm</t>
  </si>
  <si>
    <t>OST 01.22.026</t>
  </si>
  <si>
    <t>MAST 459A T</t>
  </si>
  <si>
    <t>NM_8.22.48</t>
  </si>
  <si>
    <t>Will resubmit to confirm</t>
  </si>
  <si>
    <t>MAST 459A S7</t>
  </si>
  <si>
    <t>MAST 459A p1</t>
  </si>
  <si>
    <t>OST 01.22.027</t>
  </si>
  <si>
    <t>NM_8.22.44</t>
  </si>
  <si>
    <t>MAST 586 T - PASSED</t>
  </si>
  <si>
    <t>MAST 586 p1</t>
  </si>
  <si>
    <t>MAST 586 p1 (OS) - PASSED</t>
  </si>
  <si>
    <t>MAST 597 T - PASSED</t>
  </si>
  <si>
    <t>OST 01.22.029</t>
  </si>
  <si>
    <t>OST 01.23.030</t>
  </si>
  <si>
    <t>OST 01.22.031</t>
  </si>
  <si>
    <t>MAST 45 T</t>
  </si>
  <si>
    <t>MAST 45 S7</t>
  </si>
  <si>
    <r>
      <rPr>
        <sz val="12"/>
        <color rgb="FF000000"/>
        <rFont val="Calibri"/>
        <family val="2"/>
      </rPr>
      <t>MAST 45 S7 (OS) - PASSED
[</t>
    </r>
    <r>
      <rPr>
        <sz val="12"/>
        <color rgb="FFFF0000"/>
        <rFont val="Calibri"/>
        <family val="2"/>
      </rPr>
      <t>some</t>
    </r>
    <r>
      <rPr>
        <sz val="12"/>
        <color rgb="FF000000"/>
        <rFont val="Calibri"/>
        <family val="2"/>
      </rPr>
      <t xml:space="preserve"> non-human DNA present]</t>
    </r>
  </si>
  <si>
    <t>MAST 45 p1</t>
  </si>
  <si>
    <t>OST 01.22.032</t>
  </si>
  <si>
    <t>OS45 T</t>
  </si>
  <si>
    <t>OS45 S7</t>
  </si>
  <si>
    <t>OS45 S7 (OS3) - PASSED</t>
  </si>
  <si>
    <t>OS45 p1</t>
  </si>
  <si>
    <t>OS45 p1 (OS3) - FAILED</t>
  </si>
  <si>
    <t>OST 01.23.032</t>
  </si>
  <si>
    <t>OST 01.22.033</t>
  </si>
  <si>
    <t>MAST 634 S7</t>
  </si>
  <si>
    <t>MAST 634 p1</t>
  </si>
  <si>
    <t>MAST 634 p3 (OS3) - PASSED</t>
  </si>
  <si>
    <t>OST 01.22.035</t>
  </si>
  <si>
    <t>MAST 470A S7</t>
  </si>
  <si>
    <t>-</t>
  </si>
  <si>
    <t>OST 01.22.036</t>
  </si>
  <si>
    <t>NM_8.22.54</t>
  </si>
  <si>
    <t>MAST 470A S7 (OSB)</t>
  </si>
  <si>
    <t>MAST 470A S7 (OS3)</t>
  </si>
  <si>
    <t>MAST 470A S7 (OS7)</t>
  </si>
  <si>
    <t>MAST 470A p1 (OSB)</t>
  </si>
  <si>
    <t>MAST 470A p1 (OS3)</t>
  </si>
  <si>
    <t>MAST 470A p1 (OS7)</t>
  </si>
  <si>
    <t>OST 01.22.037</t>
  </si>
  <si>
    <t>MAST 390 T</t>
  </si>
  <si>
    <t>MAST 390 S7</t>
  </si>
  <si>
    <t>MAST 390 S7 (OS) - PASSED</t>
  </si>
  <si>
    <t>MAST 390 S7 #1</t>
  </si>
  <si>
    <t>MAST 390 S7 #2</t>
  </si>
  <si>
    <t>MAST 390 p1</t>
  </si>
  <si>
    <t>MAST 390 p1 #1</t>
  </si>
  <si>
    <t>MAST 390 p1 #2</t>
  </si>
  <si>
    <t>OST 01.22.038</t>
  </si>
  <si>
    <t>OST 01.22.039</t>
  </si>
  <si>
    <t>MAST 390 S7 (OSB)</t>
  </si>
  <si>
    <t>MAST 390 S7 (OS3)</t>
  </si>
  <si>
    <t>MAST 390 S7 (OS7)</t>
  </si>
  <si>
    <t>sample 10</t>
  </si>
  <si>
    <t>missing data</t>
  </si>
  <si>
    <t>OST 01.22.040</t>
  </si>
  <si>
    <t>MAST 389 S7 (OS) - PASSED</t>
  </si>
  <si>
    <t>OST 01.22.041</t>
  </si>
  <si>
    <t>OST 01.22.042</t>
  </si>
  <si>
    <t>MAST634 S7</t>
  </si>
  <si>
    <t>MAST 634 S7 (OS3) - PASSED</t>
  </si>
  <si>
    <t xml:space="preserve"> MAST 634 p1 (OS) - PASSED</t>
  </si>
  <si>
    <t>OST 01.23.042</t>
  </si>
  <si>
    <t>OST 01.22.043</t>
  </si>
  <si>
    <t>MAST 533 T</t>
  </si>
  <si>
    <t>MAST 533 S7</t>
  </si>
  <si>
    <t>MAST 553 S7 (OS) - PASSED</t>
  </si>
  <si>
    <t>MAST 533 p1</t>
  </si>
  <si>
    <t>MAST 553 p1 (OS3) - PASSED</t>
  </si>
  <si>
    <t>OST 01.23.043</t>
  </si>
  <si>
    <t>OST 01.23.044</t>
  </si>
  <si>
    <t>MAST 553 T pretreat</t>
  </si>
  <si>
    <t>MAST 553 T mouse</t>
  </si>
  <si>
    <t>MAST 553 T human</t>
  </si>
  <si>
    <t>MAST 553 S7 (OS3) - PASSED</t>
  </si>
  <si>
    <t>MAST 553 p1</t>
  </si>
  <si>
    <t>Sample 13 from NM_8.23.12</t>
  </si>
  <si>
    <t>sample 13 from NM_8.23.12</t>
  </si>
  <si>
    <t>MAST 553 p3</t>
  </si>
  <si>
    <t>OST 01.22.045</t>
  </si>
  <si>
    <t>MAST 164 T</t>
  </si>
  <si>
    <t>MAST 164 S7</t>
  </si>
  <si>
    <t>MAST 164 p1</t>
  </si>
  <si>
    <t>OST 01.22.046</t>
  </si>
  <si>
    <t>MAST 164 S7 (OS3) - PASSED</t>
  </si>
  <si>
    <t>MAST 164 T depleted</t>
  </si>
  <si>
    <t>after column</t>
  </si>
  <si>
    <t xml:space="preserve">MAST 164 Mouse </t>
  </si>
  <si>
    <t>MAST 164 S7 depleted</t>
  </si>
  <si>
    <t>OST 01.22.047</t>
  </si>
  <si>
    <t>MAST 470A S7 (OS3) - PASSED</t>
  </si>
  <si>
    <t xml:space="preserve">OST 01.23.047 </t>
  </si>
  <si>
    <t>OST 01.22.049</t>
  </si>
  <si>
    <t>MAST 463 T</t>
  </si>
  <si>
    <t>MAST 463 S7</t>
  </si>
  <si>
    <t>MAST 463 S7 (OS3) - PASSED</t>
  </si>
  <si>
    <t>OST 01.23.050</t>
  </si>
  <si>
    <t>MAST 463 S7 (OS) - PASSED</t>
  </si>
  <si>
    <t>OST 01.22.051</t>
  </si>
  <si>
    <t>MAST 413A T</t>
  </si>
  <si>
    <t>MAST 413A S7 (OS3)</t>
  </si>
  <si>
    <t>MAST 413A S7 (OS3) - PASSED</t>
  </si>
  <si>
    <t>OST 01.23.051</t>
  </si>
  <si>
    <t>OST 01.23.52</t>
  </si>
  <si>
    <t>MAST 413A S7</t>
  </si>
  <si>
    <t>MAST 413A S7 (OS) - PASSED</t>
  </si>
  <si>
    <t>OST 01.23.052</t>
  </si>
  <si>
    <t>OST 01.22.053</t>
  </si>
  <si>
    <t>MAST 602 T</t>
  </si>
  <si>
    <t>MAST 602 T depletion</t>
  </si>
  <si>
    <t>MAST 602 S7 (OS3) - depleted - PASSED</t>
  </si>
  <si>
    <t>before column</t>
  </si>
  <si>
    <t>MAST 602 T Mouse</t>
  </si>
  <si>
    <t>MAST 602 Mouse Depleted</t>
  </si>
  <si>
    <t>MAST 602 S7 depleted</t>
  </si>
  <si>
    <t>OST 01.23.053</t>
  </si>
  <si>
    <t>MAST 602 p3</t>
  </si>
  <si>
    <t>OST 01.23.054</t>
  </si>
  <si>
    <t>MAST 602 T human</t>
  </si>
  <si>
    <t>MAST 602 S7</t>
  </si>
  <si>
    <t>MAST 602 p1</t>
  </si>
  <si>
    <t>OST 01.22.055</t>
  </si>
  <si>
    <t>MAST 375 T</t>
  </si>
  <si>
    <t>MAST 375 S7</t>
  </si>
  <si>
    <t>MAST 375 S7 (OS3) - PASSED</t>
  </si>
  <si>
    <t>MAST 375 p1</t>
  </si>
  <si>
    <t>MAST 375 p1 (OS3) - FAILED</t>
  </si>
  <si>
    <t>OST 01.23.055</t>
  </si>
  <si>
    <t>OST 01.22.057</t>
  </si>
  <si>
    <t xml:space="preserve">MAST 634 S7 </t>
  </si>
  <si>
    <t>MAST 634 S7 (OS) - PASSED</t>
  </si>
  <si>
    <t>OST 01.23.057</t>
  </si>
  <si>
    <t>OST 01.22.059</t>
  </si>
  <si>
    <t>MAST 244 T</t>
  </si>
  <si>
    <t>MAST 244 S7</t>
  </si>
  <si>
    <t>MAST 244 S7 (OS3) - PASSED</t>
  </si>
  <si>
    <t>OST 01.23.059</t>
  </si>
  <si>
    <t>MAST 244 p1</t>
  </si>
  <si>
    <t>OST 01.23.060</t>
  </si>
  <si>
    <t>OST 01.22.061</t>
  </si>
  <si>
    <t>OST 01.23.061</t>
  </si>
  <si>
    <t>OST 01.23.062</t>
  </si>
  <si>
    <t>MAST 164 T human</t>
  </si>
  <si>
    <t>Sample 7 from NM_8.23.20</t>
  </si>
  <si>
    <t>OST 01.22.063</t>
  </si>
  <si>
    <t>MAST 390 S7 (OS3) - PASSED</t>
  </si>
  <si>
    <t>OST 01.23.063</t>
  </si>
  <si>
    <t>OST 01.23.065</t>
  </si>
  <si>
    <t>MAST 622 T</t>
  </si>
  <si>
    <t>MAST 622 T pretreated</t>
  </si>
  <si>
    <t>MAST 622 T human</t>
  </si>
  <si>
    <t>MAST 622 S7</t>
  </si>
  <si>
    <t>MAST 622 S7 (OS3) - PASSED</t>
  </si>
  <si>
    <t>MAST 622 p1</t>
  </si>
  <si>
    <t>OST 01.23.066</t>
  </si>
  <si>
    <t>OST 01.23.067</t>
  </si>
  <si>
    <t>MAST 229 T pretreated</t>
  </si>
  <si>
    <t>MAST 229 - mouse</t>
  </si>
  <si>
    <t>MAST 229 - human</t>
  </si>
  <si>
    <t>MAST 229 S7 (OS3) - PASSED</t>
  </si>
  <si>
    <t>MAST 229 p1 (OS3) - PASSED</t>
  </si>
  <si>
    <t xml:space="preserve">OST 01.23.067 </t>
  </si>
  <si>
    <t>MAST 229 p3</t>
  </si>
  <si>
    <t>OS 229 p2</t>
  </si>
  <si>
    <t>MAST 229 S7p3T</t>
  </si>
  <si>
    <t>OST 01.23.069</t>
  </si>
  <si>
    <t>MAST 492D T</t>
  </si>
  <si>
    <t>MAST 492D T mouse</t>
  </si>
  <si>
    <t>MAST 492D T human</t>
  </si>
  <si>
    <t>MAST 492D S7</t>
  </si>
  <si>
    <t>MAST 492D p1</t>
  </si>
  <si>
    <t>OST 01.23.071</t>
  </si>
  <si>
    <t>MAST 470D T</t>
  </si>
  <si>
    <t>MAST 470D S7</t>
  </si>
  <si>
    <t>MAST 492D S7 (OS3) - PASSED</t>
  </si>
  <si>
    <t xml:space="preserve">OST 01.23.069 </t>
  </si>
  <si>
    <t>OST 01.23.073</t>
  </si>
  <si>
    <t>MAST 463 T pretreat</t>
  </si>
  <si>
    <t>MAST 463 T mouse</t>
  </si>
  <si>
    <t>MAST 463 T human</t>
  </si>
  <si>
    <t>MAST 463 p1</t>
  </si>
  <si>
    <t>OST 01.23.074</t>
  </si>
  <si>
    <t>OST 01.23.075</t>
  </si>
  <si>
    <t>OS 45 T</t>
  </si>
  <si>
    <t>OS 45 S7</t>
  </si>
  <si>
    <t>OST 01.23.077</t>
  </si>
  <si>
    <t>MAST 413B T</t>
  </si>
  <si>
    <t>MAST 413B S7</t>
  </si>
  <si>
    <t>MAST 413B S7 (OS3) thawed - PASSED</t>
  </si>
  <si>
    <t>PASSED - trisomy at one locus</t>
  </si>
  <si>
    <t>MAST 413B p1</t>
  </si>
  <si>
    <t>MAST 413B p3</t>
  </si>
  <si>
    <t>MAST 413B p2 (OS3) - PASSED</t>
  </si>
  <si>
    <t>OST 01.23.079</t>
  </si>
  <si>
    <t>MAST 117 T</t>
  </si>
  <si>
    <t>MAST 117 S7</t>
  </si>
  <si>
    <t>OST 01.23.081</t>
  </si>
  <si>
    <t>MAST 622 T-human</t>
  </si>
  <si>
    <t>OST 01.23.083</t>
  </si>
  <si>
    <t>MAST 352 T</t>
  </si>
  <si>
    <t>MAST 352 S7</t>
  </si>
  <si>
    <t>MAST 352 S7 (OS3) - PASSED</t>
  </si>
  <si>
    <t>MAST 352 p1</t>
  </si>
  <si>
    <t>MAST 352 S7 post thaw 7 days</t>
  </si>
  <si>
    <t>OST 01.23.085</t>
  </si>
  <si>
    <t>MAST 492A T human</t>
  </si>
  <si>
    <t>OST 01.23.087</t>
  </si>
  <si>
    <t>MAST 389 T human</t>
  </si>
  <si>
    <t>MAST 389 S7 post thaw 7 days</t>
  </si>
  <si>
    <t>OST 01.23.089</t>
  </si>
  <si>
    <t>OS 39 T</t>
  </si>
  <si>
    <t>OS 39 T human</t>
  </si>
  <si>
    <t>OS 39 S7</t>
  </si>
  <si>
    <t>OS39 S7 (OS3) - PASSED</t>
  </si>
  <si>
    <t>OS 39 p1</t>
  </si>
  <si>
    <t>OST 01.23.090</t>
  </si>
  <si>
    <t>OS39 T</t>
  </si>
  <si>
    <t>NM_08.23.32</t>
  </si>
  <si>
    <t>OS39 T human</t>
  </si>
  <si>
    <t>OS39 S7</t>
  </si>
  <si>
    <t>OS39 p1</t>
  </si>
  <si>
    <t>OST 01.23.092</t>
  </si>
  <si>
    <t>MAST 141 T</t>
  </si>
  <si>
    <t>MAST 141 T human</t>
  </si>
  <si>
    <t>MAST 141 S7</t>
  </si>
  <si>
    <t>MAST 141 p1</t>
  </si>
  <si>
    <t>MAST 141 p1 (OS3) - PASSED</t>
  </si>
  <si>
    <t>OST 01.23.093</t>
  </si>
  <si>
    <t>OST 01.23.095</t>
  </si>
  <si>
    <t>MAST 229 T human</t>
  </si>
  <si>
    <t>OST 01.23.097</t>
  </si>
  <si>
    <t>OST 01.23.099</t>
  </si>
  <si>
    <t>MAST 459D T</t>
  </si>
  <si>
    <t>MAST 459D T human</t>
  </si>
  <si>
    <t>MAST 459D S7</t>
  </si>
  <si>
    <t>MAST 459D S7 (OS3) - FAILED
Sample has multiple tri-alleles at different loci. Need to check with Brittney about this.</t>
  </si>
  <si>
    <t>OST 01.23.100</t>
  </si>
  <si>
    <t>NM_08.23.40</t>
  </si>
  <si>
    <t>MAST 549D S7</t>
  </si>
  <si>
    <t>OST 01.23.101</t>
  </si>
  <si>
    <t>MAST 115 T</t>
  </si>
  <si>
    <t>MAST 115 T human</t>
  </si>
  <si>
    <t>MAST 115 S7</t>
  </si>
  <si>
    <t>OST 01.23.103</t>
  </si>
  <si>
    <t>OST 01.23.105</t>
  </si>
  <si>
    <t>MAST 597 T human</t>
  </si>
  <si>
    <t>RBL 01.21.001</t>
  </si>
  <si>
    <t>SJRB 158_1.2 T1</t>
  </si>
  <si>
    <t>SKIPPED</t>
  </si>
  <si>
    <t>NM_8.22.20</t>
  </si>
  <si>
    <t>SJRB 158_1.2 S7 (RBL)</t>
  </si>
  <si>
    <t>SJRB 158_1.2 p1 (RBL)</t>
  </si>
  <si>
    <t>RBL 01.21.002</t>
  </si>
  <si>
    <t>SJRB 116 T0</t>
  </si>
  <si>
    <t>SJRB 116 S7 (RBL)</t>
  </si>
  <si>
    <t>SJRB 116 p1 (RBL)</t>
  </si>
  <si>
    <t>SJRB 116 S7p3T</t>
  </si>
  <si>
    <t>SJRB 116 S7P3T (RBL)</t>
  </si>
  <si>
    <t>RBL 01.21.005</t>
  </si>
  <si>
    <t>SJRB 152 T</t>
  </si>
  <si>
    <t>SJRB 152 S7 (RBL)</t>
  </si>
  <si>
    <t>SJRB 152 p0 (RBL)</t>
  </si>
  <si>
    <t>SJRB 152 p1 (RBL)</t>
  </si>
  <si>
    <t>SJRB 152 p3 (RBL)</t>
  </si>
  <si>
    <t>SJRB 152 S7 (RBL) - PASSED</t>
  </si>
  <si>
    <t>3D2D_RBL_01.21.006</t>
  </si>
  <si>
    <t>SJRB 152 p1 (RBL) - PASSED</t>
  </si>
  <si>
    <t>RBL 01.22.006</t>
  </si>
  <si>
    <t>SJRB 152 P3T</t>
  </si>
  <si>
    <t>SJRB 152 S7P3T (RBL)</t>
  </si>
  <si>
    <t>RBL 01.21.007</t>
  </si>
  <si>
    <t>SJRB 153 T</t>
  </si>
  <si>
    <t>SJRB 153 S7 (RBL)</t>
  </si>
  <si>
    <t>SJRB 153 p0 (RBL)</t>
  </si>
  <si>
    <t>SJRB 153 p1 (RBL)</t>
  </si>
  <si>
    <t>SJRB 153 p3 (RBL)</t>
  </si>
  <si>
    <t>SJRB 153 S7p3T</t>
  </si>
  <si>
    <t>RBL 01.22.009</t>
  </si>
  <si>
    <t>SJRB 134 T</t>
  </si>
  <si>
    <t xml:space="preserve">Tumor </t>
  </si>
  <si>
    <t>SJRB 134 S7</t>
  </si>
  <si>
    <t>SJRB 134 S8 (RBL)</t>
  </si>
  <si>
    <t>SJRB 134 P1</t>
  </si>
  <si>
    <t xml:space="preserve">Cells </t>
  </si>
  <si>
    <t>SJB 134 p3 (RBL)</t>
  </si>
  <si>
    <t>SJRB 134 P3T</t>
  </si>
  <si>
    <t>RBL 01.21.011</t>
  </si>
  <si>
    <t>SJRB 165 T</t>
  </si>
  <si>
    <t>SJRB 165 S7</t>
  </si>
  <si>
    <t>RBL 01.22.011</t>
  </si>
  <si>
    <t>SJRB 165 p1</t>
  </si>
  <si>
    <t>RBL 01.21.013</t>
  </si>
  <si>
    <t>SJRB 163 T</t>
  </si>
  <si>
    <t>SJRB 163 S7</t>
  </si>
  <si>
    <t>SJRB 163 p1</t>
  </si>
  <si>
    <t>SJRB 163 p3 (RBL)</t>
  </si>
  <si>
    <t>RBL 01.22.014</t>
  </si>
  <si>
    <t>RBL 01.22.015</t>
  </si>
  <si>
    <t>SJRB 147 T</t>
  </si>
  <si>
    <t>SJRB 147 S7</t>
  </si>
  <si>
    <t>SJRB 147 p3 (RBL)</t>
  </si>
  <si>
    <t>RBL 01.22.017</t>
  </si>
  <si>
    <t>SJRB 132 T</t>
  </si>
  <si>
    <t>SJRB 132 S7</t>
  </si>
  <si>
    <t>RBL 01.22.019</t>
  </si>
  <si>
    <t>SJRB 166 T</t>
  </si>
  <si>
    <t>SJRB 166 S7</t>
  </si>
  <si>
    <t>SJRB 166 p1</t>
  </si>
  <si>
    <t>RBL 01.23.020</t>
  </si>
  <si>
    <t>SJRB 166 S7 post thaw</t>
  </si>
  <si>
    <t>RBL 01.22.021</t>
  </si>
  <si>
    <t>SJRB 88 T</t>
  </si>
  <si>
    <t>SJRB 88 S7</t>
  </si>
  <si>
    <t>SJRB 88 p1</t>
  </si>
  <si>
    <t>SJRB 88 p1 (RBL) - PASSED</t>
  </si>
  <si>
    <t>RBL 01.23.021</t>
  </si>
  <si>
    <t>SJRB 88 S7 post thaw</t>
  </si>
  <si>
    <t>RBL 01.22.023</t>
  </si>
  <si>
    <t>SJRB 164 T</t>
  </si>
  <si>
    <t>SJRB 164 - T - PASSED</t>
  </si>
  <si>
    <t>SJRB 164 S7</t>
  </si>
  <si>
    <t>SJRB 164 p1</t>
  </si>
  <si>
    <t>RBL 01.23.024</t>
  </si>
  <si>
    <t>SJRB 164 S7 (RBL) - PASSED</t>
  </si>
  <si>
    <t>SJRB 164 S7 post thaw 3 days</t>
  </si>
  <si>
    <t>RBL 01.22.025</t>
  </si>
  <si>
    <t>SJRB 121 T</t>
  </si>
  <si>
    <t>SJRB 121 - T - PASSED</t>
  </si>
  <si>
    <t>SJRB 121 S7</t>
  </si>
  <si>
    <t>RBL 01.22.026</t>
  </si>
  <si>
    <t>SJRB 128 T</t>
  </si>
  <si>
    <t>SJRB 128 S7</t>
  </si>
  <si>
    <t>SJRB 128 S7 (RBL) - PASSED</t>
  </si>
  <si>
    <t>RBL 01.23.026</t>
  </si>
  <si>
    <t>SJRB 128 S7 post thaw</t>
  </si>
  <si>
    <t>RBL 01.22.027</t>
  </si>
  <si>
    <t>SJRB 121 p1</t>
  </si>
  <si>
    <t>RBL 01.22.029</t>
  </si>
  <si>
    <t>SJRB 169 T</t>
  </si>
  <si>
    <t>SJRB 169 S7</t>
  </si>
  <si>
    <t>RBL 01.22.030</t>
  </si>
  <si>
    <t>SJRB 169 S7 (RBL) - PASSED</t>
  </si>
  <si>
    <t xml:space="preserve">RBL 01.23.030 </t>
  </si>
  <si>
    <t>RBL 01.23.030</t>
  </si>
  <si>
    <t>SJRB 169 p1</t>
  </si>
  <si>
    <t>RBL 01.22.031</t>
  </si>
  <si>
    <t>SJRB 186 T</t>
  </si>
  <si>
    <t>SJRB 186 S7</t>
  </si>
  <si>
    <t>RBL 01.22.032</t>
  </si>
  <si>
    <t xml:space="preserve">SJRB 186 p1 </t>
  </si>
  <si>
    <t>RBL 01.22.033</t>
  </si>
  <si>
    <t>SJRB 144 T</t>
  </si>
  <si>
    <t>SJRB 144 S7</t>
  </si>
  <si>
    <t>SJRB 144 S7 (RBL) - PASSED</t>
  </si>
  <si>
    <t>SJRB 144 p1</t>
  </si>
  <si>
    <t>RBL 01.22.035</t>
  </si>
  <si>
    <t>SJRB 158 T</t>
  </si>
  <si>
    <t>SJRB 158 S7</t>
  </si>
  <si>
    <t>RBL 01.23.037</t>
  </si>
  <si>
    <t>SJRB 136 T</t>
  </si>
  <si>
    <t>SJRB 136 S7</t>
  </si>
  <si>
    <t>SJRB 136 S7 (RBL) - PASSED</t>
  </si>
  <si>
    <t xml:space="preserve">RBL 01.23.037 </t>
  </si>
  <si>
    <t>RBL 01.23.038</t>
  </si>
  <si>
    <t>RBL 01.23.039</t>
  </si>
  <si>
    <t>SJRB 174 T</t>
  </si>
  <si>
    <t>SJRB 174 S7</t>
  </si>
  <si>
    <t>SJRB 174 S7 (RBL)</t>
  </si>
  <si>
    <t xml:space="preserve">RBL 01.23.039 </t>
  </si>
  <si>
    <t>pending interpretation</t>
  </si>
  <si>
    <t>RBL 01.23.040</t>
  </si>
  <si>
    <t>SRJB 174 T</t>
  </si>
  <si>
    <t xml:space="preserve">RBL 01.23.040 </t>
  </si>
  <si>
    <t>SJRB 174 S7 post thaw</t>
  </si>
  <si>
    <t>RBL 01.23.041</t>
  </si>
  <si>
    <t>SJRB 175 T</t>
  </si>
  <si>
    <t>SJRB 175 S7</t>
  </si>
  <si>
    <t>RBL 01.23.043</t>
  </si>
  <si>
    <t>SJRB 150 T</t>
  </si>
  <si>
    <t>SJRB 150 S7</t>
  </si>
  <si>
    <t>SJRB 150 S7 (RBL) - PASSED</t>
  </si>
  <si>
    <t xml:space="preserve">RBL 01.23.043 </t>
  </si>
  <si>
    <t>SJRB 150 S7 post thaw</t>
  </si>
  <si>
    <t>RBL 01.23.045</t>
  </si>
  <si>
    <t>SJRB 181 S7</t>
  </si>
  <si>
    <t>SJRB 181 S7 (RBL)</t>
  </si>
  <si>
    <t xml:space="preserve">RBL 01.23.045 </t>
  </si>
  <si>
    <t>SJRB 181 S7 post thaw 3 days</t>
  </si>
  <si>
    <t>RBL 01.23.047</t>
  </si>
  <si>
    <t>SJRB 168 T</t>
  </si>
  <si>
    <t>SJRB 168 S7</t>
  </si>
  <si>
    <t>SJRB 168 S7 (RBL) - PASSED</t>
  </si>
  <si>
    <t xml:space="preserve">RBL 01.23.047 </t>
  </si>
  <si>
    <t>SJRB 168 S7 post thaw 3 days</t>
  </si>
  <si>
    <t>RBL 01.23.048</t>
  </si>
  <si>
    <t>SJRB 168 p1</t>
  </si>
  <si>
    <t>RBL 01.23.049</t>
  </si>
  <si>
    <t>SJRB 138 T</t>
  </si>
  <si>
    <t>SJRB 138 S7</t>
  </si>
  <si>
    <t>SJRB 138 S7 (RBL) - PASSED</t>
  </si>
  <si>
    <t xml:space="preserve">RBL 01.23.049 </t>
  </si>
  <si>
    <t>RBL 01.23.051</t>
  </si>
  <si>
    <t xml:space="preserve"> SJRB 128 S7 (RBL) - PASSED</t>
  </si>
  <si>
    <t>SJRB 128 p1</t>
  </si>
  <si>
    <t>RBL 01.23.052</t>
  </si>
  <si>
    <t>SJRB 184 T</t>
  </si>
  <si>
    <t>SJRB 184 S7</t>
  </si>
  <si>
    <t>SJRB 184 p1</t>
  </si>
  <si>
    <t>RBL 01.23.053</t>
  </si>
  <si>
    <t>SJRB 145 T</t>
  </si>
  <si>
    <t>SJRB 145 S7</t>
  </si>
  <si>
    <t>SJRB 145 S7 (RBL) - PASSED</t>
  </si>
  <si>
    <t>RBL 01.23.055</t>
  </si>
  <si>
    <t>SJRB 90 T</t>
  </si>
  <si>
    <t>SJRB 90 S7</t>
  </si>
  <si>
    <t>SJRB 90 S7 (RBL) - PASSED</t>
  </si>
  <si>
    <t>RBL 01.23.057</t>
  </si>
  <si>
    <t>MAST 116 T</t>
  </si>
  <si>
    <t>MAST 116 S7</t>
  </si>
  <si>
    <t>MAST 116 S7 (RBL) - PASSED</t>
  </si>
  <si>
    <t>MAST 116 p1</t>
  </si>
  <si>
    <t>RBL 01.23.059</t>
  </si>
  <si>
    <t>SJRB 143 T</t>
  </si>
  <si>
    <t>SJRB 143 S7</t>
  </si>
  <si>
    <t>SJRB 143 S7 (RBL) - PASSED</t>
  </si>
  <si>
    <t>SJRB 143 p1</t>
  </si>
  <si>
    <t>SJRB 143 S7 post thaw 3 days</t>
  </si>
  <si>
    <t>RBL 01.23.061</t>
  </si>
  <si>
    <t>SJRB 129 T</t>
  </si>
  <si>
    <t>SJRB 129 S7</t>
  </si>
  <si>
    <t>SJRB 129 S7 (RBL) - PASSED</t>
  </si>
  <si>
    <t>SJRB 129 p1</t>
  </si>
  <si>
    <t>SJRB 129 S7 post thaw 3 days</t>
  </si>
  <si>
    <t>RBL 01.23.063</t>
  </si>
  <si>
    <t>SJRB 180 T</t>
  </si>
  <si>
    <t>SJRB 180 S7</t>
  </si>
  <si>
    <t>SJRB 180 p1</t>
  </si>
  <si>
    <t>RBL 01.23.065</t>
  </si>
  <si>
    <t>SJRB 124 T</t>
  </si>
  <si>
    <t>SJRB 124 S7</t>
  </si>
  <si>
    <t>RBL 01.23.067</t>
  </si>
  <si>
    <t>SJRB 182 T</t>
  </si>
  <si>
    <t>SJRB 182 S7</t>
  </si>
  <si>
    <t>RBL 01.23.069</t>
  </si>
  <si>
    <t>RBL 01.23.071</t>
  </si>
  <si>
    <t>SJRB 148 T</t>
  </si>
  <si>
    <t>SJRB 148 S7</t>
  </si>
  <si>
    <t>RBL 01.23.073</t>
  </si>
  <si>
    <t>SJRB 115 T</t>
  </si>
  <si>
    <t>SJRB 115 S7</t>
  </si>
  <si>
    <t>WT 01.21.001</t>
  </si>
  <si>
    <t>MAST 593B T</t>
  </si>
  <si>
    <t>WT Sample 1</t>
  </si>
  <si>
    <t>MAST 593B S7 (WT)</t>
  </si>
  <si>
    <t>WT Sample 2</t>
  </si>
  <si>
    <t>MAST 593B S7 (WT-long)</t>
  </si>
  <si>
    <t>MAST 593B p1 (WT)</t>
  </si>
  <si>
    <t>WT Sample 3</t>
  </si>
  <si>
    <t>MAST 593B p3 (WT)</t>
  </si>
  <si>
    <t>WT 01.22.003</t>
  </si>
  <si>
    <t>MAST 562 T</t>
  </si>
  <si>
    <t>WT Sample 4</t>
  </si>
  <si>
    <t>MAST 562 S7 (WT)</t>
  </si>
  <si>
    <t>WT Sample 5</t>
  </si>
  <si>
    <t>MAST 562 S7 (WT-long)</t>
  </si>
  <si>
    <t>WT 01.21.003</t>
  </si>
  <si>
    <t>MAST 562 p1 (WT)</t>
  </si>
  <si>
    <t>WT Sample 6</t>
  </si>
  <si>
    <t>MAST 562 p1 (WT-long)</t>
  </si>
  <si>
    <t>WT 01.22.005</t>
  </si>
  <si>
    <t>MAST 579 T</t>
  </si>
  <si>
    <t>WT Sample 7</t>
  </si>
  <si>
    <t>MAST 579 S7 (WT)</t>
  </si>
  <si>
    <t>WT Sample 8</t>
  </si>
  <si>
    <t>MAST 579 p1 (WT)</t>
  </si>
  <si>
    <t>MAST 579 S7p3T</t>
  </si>
  <si>
    <t>WT 01.22.006</t>
  </si>
  <si>
    <t>MAST 579 - T</t>
  </si>
  <si>
    <r>
      <t>FAILED</t>
    </r>
    <r>
      <rPr>
        <b/>
        <sz val="11"/>
        <color rgb="FF000000"/>
        <rFont val="Calibri"/>
        <family val="2"/>
      </rPr>
      <t xml:space="preserve">
Note: MJ plans to keep testing this line to confirm result</t>
    </r>
  </si>
  <si>
    <t>MAST 579 S7</t>
  </si>
  <si>
    <t>WT 01.22.007</t>
  </si>
  <si>
    <t>MAST 542B T</t>
  </si>
  <si>
    <t>MAST 542B S7</t>
  </si>
  <si>
    <t>MAST 542B S7 (WT)</t>
  </si>
  <si>
    <t>MAST 542B p1</t>
  </si>
  <si>
    <t>WT 01.22.008</t>
  </si>
  <si>
    <t>WT 01.22.009</t>
  </si>
  <si>
    <t>MAST 506A T</t>
  </si>
  <si>
    <t>WT 01.22.011</t>
  </si>
  <si>
    <t>MAST 223B T</t>
  </si>
  <si>
    <t>MAST 223B S7</t>
  </si>
  <si>
    <t>MAST 223B S7 (WT)</t>
  </si>
  <si>
    <t>WT 01.22.012</t>
  </si>
  <si>
    <t>MAST 223B S7 (WT)  - PASSED</t>
  </si>
  <si>
    <t xml:space="preserve">WT 01.23.012 </t>
  </si>
  <si>
    <t>MAST 223B p1</t>
  </si>
  <si>
    <t>WT 01.23.012</t>
  </si>
  <si>
    <t>MAST 223B p3</t>
  </si>
  <si>
    <t>WT 01.22.013</t>
  </si>
  <si>
    <t>MAST 253 T</t>
  </si>
  <si>
    <t>MAST 253 S7</t>
  </si>
  <si>
    <t>MAST 253 S7 (Wtshort) - PASSED</t>
  </si>
  <si>
    <t>MAST 253 p1</t>
  </si>
  <si>
    <t>WT 01.23.014</t>
  </si>
  <si>
    <t>MAST 253 T human</t>
  </si>
  <si>
    <t>MAST 253 S7 (WT) - PASSED</t>
  </si>
  <si>
    <t xml:space="preserve">WT 01.23.014 </t>
  </si>
  <si>
    <t>WT 01.22.015</t>
  </si>
  <si>
    <t>MAST 409C T (WT)</t>
  </si>
  <si>
    <t>MAST 409C - T - FAILED</t>
  </si>
  <si>
    <t>WT 01.23.015</t>
  </si>
  <si>
    <t>MAST 409C S7</t>
  </si>
  <si>
    <t>MAST 409C S7 (WT) - FAILED</t>
  </si>
  <si>
    <t>MAST 409C p1</t>
  </si>
  <si>
    <t>WT 01.22.017</t>
  </si>
  <si>
    <t>MAST 506A S6</t>
  </si>
  <si>
    <t>MAST 506A S7 (WT) - PASSED</t>
  </si>
  <si>
    <t>MAST 506A p1 (WT)</t>
  </si>
  <si>
    <t xml:space="preserve"> MAST 506A p1 (WT) - PASSED</t>
  </si>
  <si>
    <t>WT 01.23.017</t>
  </si>
  <si>
    <t>MAST 506A p3</t>
  </si>
  <si>
    <t>WT 01.23.019</t>
  </si>
  <si>
    <t>MAST 456 T</t>
  </si>
  <si>
    <t>MAST 456 S7</t>
  </si>
  <si>
    <t>MAST 456 S7 (WT) - PASSED</t>
  </si>
  <si>
    <t>WT 01.23.020</t>
  </si>
  <si>
    <t>MAST 456 T human</t>
  </si>
  <si>
    <t>MAST 456 p1</t>
  </si>
  <si>
    <t>MAST 456 S7 post thaw</t>
  </si>
  <si>
    <t>MAST 456 p3</t>
  </si>
  <si>
    <t>WT 01.23.021</t>
  </si>
  <si>
    <t>MAST 253 S7 post thaw</t>
  </si>
  <si>
    <t>WT 01.23.023</t>
  </si>
  <si>
    <t>MAST 226 T</t>
  </si>
  <si>
    <t>MAST 226 T human</t>
  </si>
  <si>
    <t>MAST 226 S7</t>
  </si>
  <si>
    <t>MAST 226 S7 (WT) - PASSED</t>
  </si>
  <si>
    <t>MAST 226 p1</t>
  </si>
  <si>
    <t>MAST 226 S7 post thaw</t>
  </si>
  <si>
    <t>WT 01.23.024</t>
  </si>
  <si>
    <t>WT 01.23.025</t>
  </si>
  <si>
    <t>MAST 655 T</t>
  </si>
  <si>
    <t>MAST 655 T human</t>
  </si>
  <si>
    <t>MAST 655 S7</t>
  </si>
  <si>
    <t>MAST 655 p1</t>
  </si>
  <si>
    <t>MAST 655 p1 (WT) - PASSED</t>
  </si>
  <si>
    <t xml:space="preserve">MAST 655 S7 post thaw 7 days </t>
  </si>
  <si>
    <t>MAST 655 p3</t>
  </si>
  <si>
    <t>WT 01.23.027</t>
  </si>
  <si>
    <t>MAST 664B T</t>
  </si>
  <si>
    <t>MAST 664B T human</t>
  </si>
  <si>
    <t>MAST 664B S7</t>
  </si>
  <si>
    <t>MAST 664B p1</t>
  </si>
  <si>
    <t>MAST 664B p1 (WT) - PASSED</t>
  </si>
  <si>
    <t>WT 01.23.029</t>
  </si>
  <si>
    <t>MAST 152 S7 (OS3)</t>
  </si>
  <si>
    <t>NM_8.22.26</t>
  </si>
  <si>
    <t>SJRB 152 S7 (RPMI)</t>
  </si>
  <si>
    <t>suspension</t>
  </si>
  <si>
    <t>NM_8.22.28</t>
  </si>
  <si>
    <t>SJRB 152 p1 (RPMI)</t>
  </si>
  <si>
    <t>NM_8.22.29</t>
  </si>
  <si>
    <t>MAST 152 S7 (OS1)</t>
  </si>
  <si>
    <t>adherent</t>
  </si>
  <si>
    <t>MAST 152 S7 (OS5)</t>
  </si>
  <si>
    <t>SJRB 152 S7 RET(REM)</t>
  </si>
  <si>
    <t>SJRB 152 p1 RET(REM)</t>
  </si>
  <si>
    <t>MAST 634 S7 (OS3)</t>
  </si>
  <si>
    <t>MAST 634 S7 (OS1)</t>
  </si>
  <si>
    <t>SJRB 152 S7 (HPLM)</t>
  </si>
  <si>
    <t>SJRB 152 p1 (HPLM)</t>
  </si>
  <si>
    <t>MAST 634 S7 (OS5)</t>
  </si>
  <si>
    <t>MAST 492B S7 (OS3)</t>
  </si>
  <si>
    <t>SJRB 152 S7 (3DRDM)</t>
  </si>
  <si>
    <t>SJRB 152 p1 (3DRDM)</t>
  </si>
  <si>
    <t>MAST 492B S7 (OS1)</t>
  </si>
  <si>
    <t>MAST 492B S7 (OS5)</t>
  </si>
  <si>
    <t>SJRB 134 S7 (RPMI)</t>
  </si>
  <si>
    <t>SJRB 134 p1 (RPMI)</t>
  </si>
  <si>
    <t>MAST 152 p1 (OS3)</t>
  </si>
  <si>
    <t>MAST 152 p1 (OS1)</t>
  </si>
  <si>
    <t>SJRB 134 S7 RET(REM)</t>
  </si>
  <si>
    <t>SJRB 134 p1 RET(REM)</t>
  </si>
  <si>
    <t>MAST 152 p1 (OS5)</t>
  </si>
  <si>
    <t>MAST 634 p1 (OS3)</t>
  </si>
  <si>
    <t>SJRB 134 S7 (HPLM)</t>
  </si>
  <si>
    <t>SJRB 134 p1 (HPLM)</t>
  </si>
  <si>
    <t>MAST 634 p1 (OS1)</t>
  </si>
  <si>
    <t>MAST 634 p1 (OS5)</t>
  </si>
  <si>
    <t>SJRB 134 S7 (3DRDM)</t>
  </si>
  <si>
    <t>SJRB 134 p1 (3DRDM)</t>
  </si>
  <si>
    <t>MAST 492B p1 (OS3)</t>
  </si>
  <si>
    <t>MAST 492B p1 (OS1)</t>
  </si>
  <si>
    <t>RBL 01.22.012</t>
  </si>
  <si>
    <t>SJRB 165 S7 (RPMI)</t>
  </si>
  <si>
    <t>SJRB 165 p1 (RPMI)</t>
  </si>
  <si>
    <t>MAST 492B p1 (OS5)</t>
  </si>
  <si>
    <t>SJRB 165 S7 RET(REM)</t>
  </si>
  <si>
    <t>SJRB 165 p1 RET(REM)</t>
  </si>
  <si>
    <t>SJRB 165 S7 (HPLM)</t>
  </si>
  <si>
    <t>SJRB 165 p1 (HPLM)</t>
  </si>
  <si>
    <t>SJRB 165 S7 (3DRDM)</t>
  </si>
  <si>
    <t>SJRB 165 p1 (3DRDM)</t>
  </si>
  <si>
    <t>JDM 01.21.036</t>
  </si>
  <si>
    <t>NM_8.22.14</t>
  </si>
  <si>
    <t>NM_08.22.21</t>
  </si>
  <si>
    <t>RMS 01.22.095</t>
  </si>
  <si>
    <t>MAST 153 S7p3T (B)</t>
  </si>
  <si>
    <t>RMS 01.21.036</t>
  </si>
  <si>
    <t>MAST 213F p1 (BF)</t>
  </si>
  <si>
    <t>RMS 01.21.086</t>
  </si>
  <si>
    <t>MAST 545 p1 (GF)</t>
  </si>
  <si>
    <t>RMS 01.21.111</t>
  </si>
  <si>
    <t>MAST 213H p1 (GF)</t>
  </si>
  <si>
    <t>RMS 01.22.121</t>
  </si>
  <si>
    <t>MAST 441 T (GF)</t>
  </si>
  <si>
    <t>MAST 441 S7 (GF)</t>
  </si>
  <si>
    <t>MAST 441 p1 (GF)</t>
  </si>
  <si>
    <t>RMS 01.22.122</t>
  </si>
  <si>
    <t>MAST 139 p1 (B)</t>
  </si>
  <si>
    <t>RMS 01.23.124</t>
  </si>
  <si>
    <t>MAST 421 T</t>
  </si>
  <si>
    <t>MAST 421 S7</t>
  </si>
  <si>
    <t>MAST 421 p1</t>
  </si>
  <si>
    <t>RMS 01.23.123</t>
  </si>
  <si>
    <t>MAST 441 T</t>
  </si>
  <si>
    <t>MAST 441 p1</t>
  </si>
  <si>
    <t>RMS 01.22.090</t>
  </si>
  <si>
    <t>MAST 35 T (BF)</t>
  </si>
  <si>
    <t>MAST 35 S7 (BF)</t>
  </si>
  <si>
    <t>MAST 35 p1 (BF)</t>
  </si>
  <si>
    <t>RMS 01.22.092</t>
  </si>
  <si>
    <t>MAST 421 T (G)</t>
  </si>
  <si>
    <t>MAST 421 p1 (G)</t>
  </si>
  <si>
    <t>RMS 01.22.088</t>
  </si>
  <si>
    <t>MAST 410 T (GF)</t>
  </si>
  <si>
    <t>MAST 410 S7 (GF)</t>
  </si>
  <si>
    <t>MAST 410 p1 (GF)</t>
  </si>
  <si>
    <t>RMS 01.22.118</t>
  </si>
  <si>
    <t>Rh 70 p4T (B)</t>
  </si>
  <si>
    <t>RMS 01.22.121</t>
  </si>
  <si>
    <t>RMS 01.22.122</t>
  </si>
  <si>
    <t>RMS 01.21.036</t>
  </si>
  <si>
    <t>RMS 01.21.111</t>
  </si>
  <si>
    <t>RMS 01.21.086</t>
  </si>
  <si>
    <t>RMS 01.21.031</t>
  </si>
  <si>
    <t>MAST 243A T</t>
  </si>
  <si>
    <t>MAST 243A S7</t>
  </si>
  <si>
    <t>MAST 243A p1</t>
  </si>
  <si>
    <t>MAST 284</t>
  </si>
  <si>
    <t>S7</t>
  </si>
  <si>
    <t>G</t>
  </si>
  <si>
    <t>RMS 01.21.099</t>
  </si>
  <si>
    <t>NM_8.22.12</t>
  </si>
  <si>
    <t>P1</t>
  </si>
  <si>
    <t>MAST 351</t>
  </si>
  <si>
    <t>RMS 01.21.055</t>
  </si>
  <si>
    <t>RMS 01.21.056</t>
  </si>
  <si>
    <t>MAST 432</t>
  </si>
  <si>
    <t>BF</t>
  </si>
  <si>
    <t>RMS 01.21.081</t>
  </si>
  <si>
    <t>MAST 486</t>
  </si>
  <si>
    <t>B</t>
  </si>
  <si>
    <t>RMS 01.21.041</t>
  </si>
  <si>
    <t>RMS 01.21.042</t>
  </si>
  <si>
    <t>MAST 607B</t>
  </si>
  <si>
    <t>RMS 01.21.073</t>
  </si>
  <si>
    <t>RMS 01.21.074</t>
  </si>
  <si>
    <t>MAST 607C</t>
  </si>
  <si>
    <t>RMS 01.21.069</t>
  </si>
  <si>
    <t>RMS 01.21.070</t>
  </si>
  <si>
    <t>MAST 74</t>
  </si>
  <si>
    <t>RMS 01.21.019</t>
  </si>
  <si>
    <t>RMS 01.21.108</t>
  </si>
  <si>
    <t>MAST 444B</t>
  </si>
  <si>
    <t>GF</t>
  </si>
  <si>
    <t>RMS 01.21.054</t>
  </si>
  <si>
    <t>Rh71</t>
  </si>
  <si>
    <t>RMS 01.21.057</t>
  </si>
  <si>
    <t>Rh 71</t>
  </si>
  <si>
    <t>NM_8.22.9 Sample# RTqPCR</t>
  </si>
  <si>
    <t>human/mouse ration (Ct)</t>
  </si>
  <si>
    <t>mouse contamination %</t>
  </si>
  <si>
    <t>Notes</t>
  </si>
  <si>
    <t>MAST 39 S7 (B)</t>
  </si>
  <si>
    <t>RMS 01.21.013</t>
  </si>
  <si>
    <t>MAST 39 P1 (B)</t>
  </si>
  <si>
    <t>MAST 71 S7 (G)</t>
  </si>
  <si>
    <t>RMS 01.21.006</t>
  </si>
  <si>
    <t>MAST 71 P1 (G)</t>
  </si>
  <si>
    <t>RMS 01.21.014</t>
  </si>
  <si>
    <t>MAST 95 S7 (BF)</t>
  </si>
  <si>
    <t>RMS 01.21.039</t>
  </si>
  <si>
    <t>MAST 95 p1 (BF)</t>
  </si>
  <si>
    <t>RMS 01.21.040</t>
  </si>
  <si>
    <t>data taken from NM_8.22.2 sample 14</t>
  </si>
  <si>
    <t>MAST 111 S7 (B)</t>
  </si>
  <si>
    <t>RMS 01.21.008</t>
  </si>
  <si>
    <t>MAST 111 p1 (B)</t>
  </si>
  <si>
    <t>data taken from NM_8.22.2 sample 3</t>
  </si>
  <si>
    <t>MAST 139 S7 (B)</t>
  </si>
  <si>
    <t>RMS 01.21.015</t>
  </si>
  <si>
    <t>data taken from NM_8.22.2 sample 6</t>
  </si>
  <si>
    <t>data taken from NM_8.22.2 sample 7</t>
  </si>
  <si>
    <t>MAST 161 S7 (G)</t>
  </si>
  <si>
    <t>RMS 01.21.004</t>
  </si>
  <si>
    <t>MAST 161 P1 (G)</t>
  </si>
  <si>
    <t>MAST 213F S7 (BF)</t>
  </si>
  <si>
    <t>MAST 213F P1 (BF)</t>
  </si>
  <si>
    <t>MAST 213H S7 (GF)</t>
  </si>
  <si>
    <t>RMS 01.21.021</t>
  </si>
  <si>
    <t>MAST 213H P1 (GF)</t>
  </si>
  <si>
    <t>MAST 527 S7 (B)</t>
  </si>
  <si>
    <t>RMS 01.21.012</t>
  </si>
  <si>
    <t>MAST 527 P1 (B)</t>
  </si>
  <si>
    <t>MAST 545 S7 (GF)</t>
  </si>
  <si>
    <t>MAST 545 P1 (GF)</t>
  </si>
  <si>
    <t>Sample</t>
  </si>
  <si>
    <t>NM_8.22.2</t>
  </si>
  <si>
    <t>% mouse contamination</t>
  </si>
  <si>
    <t>RMS008</t>
  </si>
  <si>
    <t>MAST 111 T</t>
  </si>
  <si>
    <t>MAST 111 p2 (B)</t>
  </si>
  <si>
    <t>RMS 015</t>
  </si>
  <si>
    <t>MAST 139 T</t>
  </si>
  <si>
    <t>MAST 139 p2 (B)</t>
  </si>
  <si>
    <t>RMS029</t>
  </si>
  <si>
    <t>MAST 60 T</t>
  </si>
  <si>
    <t>MAST 60 S7 (GF)</t>
  </si>
  <si>
    <t>MAST 60 p1 (GF)</t>
  </si>
  <si>
    <t>RMS040</t>
  </si>
  <si>
    <t>MAST 95 T</t>
  </si>
  <si>
    <t>RMS033</t>
  </si>
  <si>
    <t>MAST 118 T</t>
  </si>
  <si>
    <t>MAST 118 S7 (BF)</t>
  </si>
  <si>
    <t>MAST 118 p1 (BF)</t>
  </si>
  <si>
    <t>RMS011</t>
  </si>
  <si>
    <t>MAST 527 T</t>
  </si>
  <si>
    <t>MAST 527 p1 (G)</t>
  </si>
  <si>
    <t>RMS023</t>
  </si>
  <si>
    <t>MAST 243B T</t>
  </si>
  <si>
    <t>MAST 243B S7 (BF)</t>
  </si>
  <si>
    <t>MAST 243B p1 (BF)</t>
  </si>
  <si>
    <t>RMS027</t>
  </si>
  <si>
    <t>MAST 100 T</t>
  </si>
  <si>
    <t>MAST 100 S7 (G)</t>
  </si>
  <si>
    <t>MAST 100 p1 (G)</t>
  </si>
  <si>
    <t>RMS009</t>
  </si>
  <si>
    <t>MAST 85 T</t>
  </si>
  <si>
    <t>MAST 85 S7 (B)</t>
  </si>
  <si>
    <t>MAST 85 p1 (B)</t>
  </si>
  <si>
    <t>Tube #</t>
  </si>
  <si>
    <t>Material</t>
  </si>
  <si>
    <t>MAST 74 T0</t>
  </si>
  <si>
    <t>MAST 74 S7 (G)</t>
  </si>
  <si>
    <t>MAST 74 p1 (G)</t>
  </si>
  <si>
    <t>SJ1018 2D culture</t>
  </si>
  <si>
    <t>JDM 01.23.022-13</t>
  </si>
  <si>
    <t>SJ10018T reinjected MAST 74 CCLF rep1</t>
  </si>
  <si>
    <t>JDM</t>
  </si>
  <si>
    <t>SJ10018T reinjected MAST 74 CCLF rep2</t>
  </si>
  <si>
    <t>MAST 74 S7p3T (G)</t>
  </si>
  <si>
    <t>SJ1013 2D culture</t>
  </si>
  <si>
    <t>JDM 01.23.022-10</t>
  </si>
  <si>
    <t>Tube</t>
  </si>
  <si>
    <t>experiment#</t>
  </si>
  <si>
    <t>MAST 245 (G) S7</t>
  </si>
  <si>
    <t>RMS01.22.044</t>
  </si>
  <si>
    <t>MAST 323 (G) S7</t>
  </si>
  <si>
    <t>RMS01.21.083</t>
  </si>
  <si>
    <t>MAST 430 (G) S7</t>
  </si>
  <si>
    <t>RMS01.21.079</t>
  </si>
  <si>
    <t>MAST 473 (GF) S7</t>
  </si>
  <si>
    <t>RMS01.21.063</t>
  </si>
  <si>
    <t>MAST 505 (G) S7</t>
  </si>
  <si>
    <t>RMS01.21.050</t>
  </si>
  <si>
    <t>MAST 509 (BF) S7</t>
  </si>
  <si>
    <t>RMS01.21.077</t>
  </si>
  <si>
    <t>MAST 563A (B) S7</t>
  </si>
  <si>
    <t>RMS01.21.051</t>
  </si>
  <si>
    <t>MAST 576A (G) S7</t>
  </si>
  <si>
    <t>RMS01.21.046</t>
  </si>
  <si>
    <t>MAST 576B (B) S7</t>
  </si>
  <si>
    <t>RMS01.21.048</t>
  </si>
  <si>
    <t>MAST 590 (GF) S7</t>
  </si>
  <si>
    <t>RMS01.22.114</t>
  </si>
  <si>
    <t>MAST 607A (G) S7</t>
  </si>
  <si>
    <t>RMS01.21.071</t>
  </si>
  <si>
    <t>MAST 612 (GF) p1</t>
  </si>
  <si>
    <t>RMS01.21.112</t>
  </si>
  <si>
    <t>Rh70 (B) S7</t>
  </si>
  <si>
    <t>RMS01.22.117</t>
  </si>
  <si>
    <t>Rh72 (G) S7</t>
  </si>
  <si>
    <t>RMS01.21.061</t>
  </si>
  <si>
    <t>Rh73 (G) S7</t>
  </si>
  <si>
    <t>RMS01.21.065</t>
  </si>
  <si>
    <t>Rh74 (B) p2</t>
  </si>
  <si>
    <t>RMS 01.21.075</t>
  </si>
  <si>
    <t>Rh75 (B) S7</t>
  </si>
  <si>
    <t>RMS01.21.067</t>
  </si>
  <si>
    <t>MAST 623D (EWS) S7</t>
  </si>
  <si>
    <t>EWS01.23.023</t>
  </si>
  <si>
    <t>DYE ID</t>
  </si>
  <si>
    <t>DYE 6187</t>
  </si>
  <si>
    <t>MAST 71 – S7 p1 (G)</t>
  </si>
  <si>
    <t>RMS_01.21.006</t>
  </si>
  <si>
    <t>DY8414</t>
  </si>
  <si>
    <t>MAST 527 S7_B</t>
  </si>
  <si>
    <t>RMS01.21.011</t>
  </si>
  <si>
    <t>DY8443</t>
  </si>
  <si>
    <t>MAST 161 S7P3T</t>
  </si>
  <si>
    <t>DYE8551</t>
  </si>
  <si>
    <t>MAST 85 S7p3T (B)</t>
  </si>
  <si>
    <t>RMS 01.21.009 </t>
  </si>
  <si>
    <t>DYE8552</t>
  </si>
  <si>
    <t>MAST 111 S7p3T (B)</t>
  </si>
  <si>
    <t>RMS 01.21.008 </t>
  </si>
  <si>
    <t>DYE8553</t>
  </si>
  <si>
    <t>MAST 139 S7p3T (B)</t>
  </si>
  <si>
    <t>RMS 01.21.015 </t>
  </si>
  <si>
    <t>DYE8740</t>
  </si>
  <si>
    <t>MAST 71T</t>
  </si>
  <si>
    <t>DYE0715</t>
  </si>
  <si>
    <t>MAST 527 P3T (B)</t>
  </si>
  <si>
    <t>RMS 01.22.012</t>
  </si>
  <si>
    <t>DY8415</t>
  </si>
  <si>
    <t>MAST 527 P1_B</t>
  </si>
  <si>
    <t>RMS 01.21.011</t>
  </si>
  <si>
    <t>DY8371</t>
  </si>
  <si>
    <t>MAST 74 P1</t>
  </si>
  <si>
    <t>DY8374</t>
  </si>
  <si>
    <t>MAST 118 S7P3T</t>
  </si>
  <si>
    <t>RMS 01.21.033</t>
  </si>
  <si>
    <t>DY8375</t>
  </si>
  <si>
    <t>MAST 213F S7</t>
  </si>
  <si>
    <t>RMS 01.21.025</t>
  </si>
  <si>
    <t>DY8377</t>
  </si>
  <si>
    <t>MAST 213F S7P3T</t>
  </si>
  <si>
    <t>DY8381</t>
  </si>
  <si>
    <t>MAST 243A P1</t>
  </si>
  <si>
    <t>RMS 01.21.031</t>
  </si>
  <si>
    <t>DY8408</t>
  </si>
  <si>
    <t>MAST 486 P1</t>
  </si>
  <si>
    <t>DY8409</t>
  </si>
  <si>
    <t>MAST 486 S7P3T</t>
  </si>
  <si>
    <t>DYE8555</t>
  </si>
  <si>
    <t>MAST 213H S7p3T (GF)</t>
  </si>
  <si>
    <t>RMS 01.21.021 </t>
  </si>
  <si>
    <t>DY8379</t>
  </si>
  <si>
    <t>MAST 213H P2</t>
  </si>
  <si>
    <t>RMS 01.21.022</t>
  </si>
  <si>
    <t>DY8383</t>
  </si>
  <si>
    <t>MAST 243B P1</t>
  </si>
  <si>
    <t>RMS 01.21.023</t>
  </si>
  <si>
    <t>DYE8556</t>
  </si>
  <si>
    <t>MAST 243A S7p3T (BF)</t>
  </si>
  <si>
    <t>RMS 01.21.032 </t>
  </si>
  <si>
    <t>DY8385</t>
  </si>
  <si>
    <t>MAST 245 S7</t>
  </si>
  <si>
    <t>RMS 01.21.043</t>
  </si>
  <si>
    <t>DY8386</t>
  </si>
  <si>
    <t>MAST 245 P1</t>
  </si>
  <si>
    <t>DY8393</t>
  </si>
  <si>
    <t>MAST351 S7P3T</t>
  </si>
  <si>
    <t>DY8396</t>
  </si>
  <si>
    <t>RMS 01.21.091</t>
  </si>
  <si>
    <t>DY8397</t>
  </si>
  <si>
    <t>MAST 421 P1</t>
  </si>
  <si>
    <t>DY8402</t>
  </si>
  <si>
    <t>MAST 444B S7</t>
  </si>
  <si>
    <t>RMS 01.21.053</t>
  </si>
  <si>
    <t>DY8403</t>
  </si>
  <si>
    <t>MAST 444B P2</t>
  </si>
  <si>
    <t>DY8410</t>
  </si>
  <si>
    <t>MAST 505 S7</t>
  </si>
  <si>
    <t>RMS 01.21.049</t>
  </si>
  <si>
    <t>DY8411</t>
  </si>
  <si>
    <t>MAST 505 P2</t>
  </si>
  <si>
    <t>DY8420</t>
  </si>
  <si>
    <t>MAST 576A S7</t>
  </si>
  <si>
    <t>RMS 01.21.045</t>
  </si>
  <si>
    <t>DY8421</t>
  </si>
  <si>
    <t>MAST 576A P1</t>
  </si>
  <si>
    <t>DY8422</t>
  </si>
  <si>
    <t>MAST576A S7P3T</t>
  </si>
  <si>
    <t>DY8423</t>
  </si>
  <si>
    <t>MAST 576B S7</t>
  </si>
  <si>
    <t>RMS 01.21.047</t>
  </si>
  <si>
    <t>DY8424</t>
  </si>
  <si>
    <t>MAST 576B P1</t>
  </si>
  <si>
    <t>DYE8548</t>
  </si>
  <si>
    <t>MAST 39 S7p3T (B)</t>
  </si>
  <si>
    <t>RMS 01.21.013 </t>
  </si>
  <si>
    <t>DYE8549</t>
  </si>
  <si>
    <t>MAST 71 S7p3T (G)</t>
  </si>
  <si>
    <t>RMS01.21.006 </t>
  </si>
  <si>
    <t>DYE8558</t>
  </si>
  <si>
    <t>MAST 527 S7p3T (B)</t>
  </si>
  <si>
    <t>RMS 01.21.012 </t>
  </si>
  <si>
    <t>DYE8561</t>
  </si>
  <si>
    <t>Rh71 S7p3T (B)</t>
  </si>
  <si>
    <t>RMS.01.21.057 </t>
  </si>
  <si>
    <t>DYE8734</t>
  </si>
  <si>
    <t>MAST 527 T (B)</t>
  </si>
  <si>
    <t>DYE8739</t>
  </si>
  <si>
    <t>MAST 39 T</t>
  </si>
  <si>
    <t>DY8404</t>
  </si>
  <si>
    <t>MAST 444B S7P3T</t>
  </si>
  <si>
    <t>DY8406</t>
  </si>
  <si>
    <t>MAST 473 P1</t>
  </si>
  <si>
    <t>RMS 01.21.063</t>
  </si>
  <si>
    <t>DY8429</t>
  </si>
  <si>
    <t>MAST 607C P1</t>
  </si>
  <si>
    <t>DY8436</t>
  </si>
  <si>
    <t>Rh73 S7P3T</t>
  </si>
  <si>
    <t>RMS 01.21.065</t>
  </si>
  <si>
    <t>DY8441</t>
  </si>
  <si>
    <t>Rh75 P2</t>
  </si>
  <si>
    <t>RMS 01.21.068</t>
  </si>
  <si>
    <t>DY8442</t>
  </si>
  <si>
    <t>Rh75 S7P3T</t>
  </si>
  <si>
    <t>DYE8557</t>
  </si>
  <si>
    <t>MAST 323 S7p3T (G)</t>
  </si>
  <si>
    <t>RMS 01.21.083 </t>
  </si>
  <si>
    <t>DYE8560</t>
  </si>
  <si>
    <t>MAST 607C S7p3T (G)</t>
  </si>
  <si>
    <t>RMS 01.21.070 </t>
  </si>
  <si>
    <t>DYE8562</t>
  </si>
  <si>
    <t>Rh72 S7p3T (G)</t>
  </si>
  <si>
    <t>RMS 01.21.061 </t>
  </si>
  <si>
    <t>DYE0714</t>
  </si>
  <si>
    <t>MAST 473 P3T  (GF)</t>
  </si>
  <si>
    <t>RMS 01.22.064</t>
  </si>
  <si>
    <t>DY8426</t>
  </si>
  <si>
    <t>MAST 607B P1</t>
  </si>
  <si>
    <t>DY8368</t>
  </si>
  <si>
    <t>MAST 35 S7</t>
  </si>
  <si>
    <t>RMS 01.21.089</t>
  </si>
  <si>
    <t>DY8369</t>
  </si>
  <si>
    <t>MAST 35 P1</t>
  </si>
  <si>
    <t>DY8394</t>
  </si>
  <si>
    <t>MAST 410 S7</t>
  </si>
  <si>
    <t>RMS 01.21.087</t>
  </si>
  <si>
    <t>DY8395</t>
  </si>
  <si>
    <t>MAST 410 P1</t>
  </si>
  <si>
    <t>DY8399</t>
  </si>
  <si>
    <t>MAST 430 P1</t>
  </si>
  <si>
    <t>RMS 01.21.079</t>
  </si>
  <si>
    <t>DY8416</t>
  </si>
  <si>
    <t>MAST 545 S7</t>
  </si>
  <si>
    <t>RMS 01.21.085</t>
  </si>
  <si>
    <t>DY8417</t>
  </si>
  <si>
    <t>MAST 545 P1</t>
  </si>
  <si>
    <t>DY8437</t>
  </si>
  <si>
    <t>Rh74 S7</t>
  </si>
  <si>
    <t>DYE8559</t>
  </si>
  <si>
    <t>MAST 545 S7p3T (GF)</t>
  </si>
  <si>
    <t>RMS 01.21.085 </t>
  </si>
  <si>
    <t>DYE0725</t>
  </si>
  <si>
    <t>MAST 590 T (GF)</t>
  </si>
  <si>
    <t>RMS 01.22.114</t>
  </si>
  <si>
    <t>DYE0727</t>
  </si>
  <si>
    <t>MAST 590 P1 (GF)</t>
  </si>
  <si>
    <t>DYE7969</t>
  </si>
  <si>
    <t>MAST 3 T </t>
  </si>
  <si>
    <t>NBL_01.21.002</t>
  </si>
  <si>
    <t>DYE2811</t>
  </si>
  <si>
    <t>MAST 465A T </t>
  </si>
  <si>
    <t>DYE2812</t>
  </si>
  <si>
    <t>MAST 121 T</t>
  </si>
  <si>
    <t>NBL 01.23.049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</si>
</sst>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 (Body)"/>
    </font>
    <font>
      <sz val="11"/>
      <color rgb="FF000000"/>
      <name val="Segoe UI"/>
      <charset val="1"/>
    </font>
    <font>
      <b/>
      <sz val="11"/>
      <color rgb="FF4472C4"/>
      <name val="Segoe UI"/>
      <charset val="1"/>
    </font>
    <font>
      <b/>
      <sz val="11"/>
      <color rgb="FFC00000"/>
      <name val="Segoe UI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4472C4"/>
      <name val="Calibri"/>
      <family val="2"/>
    </font>
    <font>
      <b/>
      <sz val="11"/>
      <color rgb="FFFF0000"/>
      <name val="Calibri"/>
      <family val="2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1"/>
      <color rgb="FF212121"/>
      <name val="Segoe UI"/>
      <charset val="1"/>
    </font>
    <font>
      <sz val="11"/>
      <color rgb="FF4472C4"/>
      <name val="Segoe UI"/>
      <charset val="1"/>
    </font>
    <font>
      <sz val="12"/>
      <color rgb="FF000000"/>
      <name val="Calibri"/>
      <family val="2"/>
    </font>
    <font>
      <sz val="11"/>
      <color rgb="FF4472C4"/>
      <name val="Calibri"/>
      <family val="2"/>
    </font>
    <font>
      <sz val="11"/>
      <color rgb="FFC00000"/>
      <name val="Calibri"/>
      <family val="2"/>
    </font>
    <font>
      <sz val="11"/>
      <color rgb="FF44546A"/>
      <name val="Calibri"/>
      <family val="2"/>
    </font>
    <font>
      <sz val="11"/>
      <color theme="1"/>
      <name val="Calibri"/>
      <family val="2"/>
    </font>
    <font>
      <sz val="11"/>
      <color rgb="FF4472C4"/>
      <name val="Calibri"/>
      <family val="2"/>
    </font>
    <font>
      <sz val="11"/>
      <color rgb="FFC00000"/>
      <name val="Calibri"/>
      <family val="2"/>
    </font>
    <font>
      <sz val="11"/>
      <color rgb="FF000000"/>
      <name val="Inherit"/>
      <charset val="1"/>
    </font>
    <font>
      <sz val="11"/>
      <color rgb="FF070706"/>
      <name val="Inherit"/>
      <charset val="1"/>
    </font>
    <font>
      <sz val="11"/>
      <color theme="1"/>
      <name val="Calibri"/>
      <family val="2"/>
      <charset val="1"/>
    </font>
    <font>
      <sz val="11"/>
      <color theme="1"/>
      <name val="Inherit"/>
      <charset val="1"/>
    </font>
    <font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rgb="FF305496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1"/>
      <color rgb="FFC00000"/>
      <name val="Calibri"/>
      <family val="2"/>
      <charset val="1"/>
    </font>
    <font>
      <sz val="11"/>
      <color rgb="FFC00000"/>
      <name val="Calibri"/>
      <family val="2"/>
      <charset val="1"/>
    </font>
    <font>
      <b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0D0D0D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BC2E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4472C4"/>
      </right>
      <top/>
      <bottom style="thin">
        <color rgb="FF4472C4"/>
      </bottom>
      <diagonal/>
    </border>
    <border>
      <left/>
      <right style="thin">
        <color rgb="FF44546A"/>
      </right>
      <top/>
      <bottom style="thin">
        <color rgb="FF44546A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6" xfId="0" applyFill="1" applyBorder="1"/>
    <xf numFmtId="0" fontId="0" fillId="3" borderId="6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164" fontId="0" fillId="5" borderId="9" xfId="0" applyNumberForma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164" fontId="0" fillId="4" borderId="12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/>
    </xf>
    <xf numFmtId="164" fontId="0" fillId="6" borderId="9" xfId="0" applyNumberFormat="1" applyFill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 vertical="center"/>
    </xf>
    <xf numFmtId="164" fontId="0" fillId="2" borderId="14" xfId="0" applyNumberFormat="1" applyFill="1" applyBorder="1" applyAlignment="1">
      <alignment horizontal="center" vertical="center"/>
    </xf>
    <xf numFmtId="0" fontId="1" fillId="0" borderId="0" xfId="0" applyFont="1"/>
    <xf numFmtId="0" fontId="1" fillId="0" borderId="15" xfId="0" applyFont="1" applyBorder="1" applyAlignment="1">
      <alignment horizontal="center"/>
    </xf>
    <xf numFmtId="0" fontId="6" fillId="0" borderId="1" xfId="0" applyFont="1" applyBorder="1"/>
    <xf numFmtId="0" fontId="6" fillId="0" borderId="16" xfId="0" applyFont="1" applyBorder="1"/>
    <xf numFmtId="10" fontId="6" fillId="8" borderId="1" xfId="0" applyNumberFormat="1" applyFont="1" applyFill="1" applyBorder="1"/>
    <xf numFmtId="0" fontId="6" fillId="0" borderId="14" xfId="0" applyFont="1" applyBorder="1"/>
    <xf numFmtId="0" fontId="6" fillId="0" borderId="17" xfId="0" applyFont="1" applyBorder="1"/>
    <xf numFmtId="0" fontId="2" fillId="0" borderId="1" xfId="0" applyFont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0" fontId="6" fillId="8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7" fillId="9" borderId="1" xfId="0" applyNumberFormat="1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0" xfId="0" applyBorder="1"/>
    <xf numFmtId="0" fontId="1" fillId="0" borderId="20" xfId="0" applyFont="1" applyBorder="1"/>
    <xf numFmtId="164" fontId="2" fillId="0" borderId="21" xfId="0" applyNumberFormat="1" applyFont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/>
    </xf>
    <xf numFmtId="10" fontId="7" fillId="9" borderId="22" xfId="0" applyNumberFormat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10" fontId="6" fillId="8" borderId="22" xfId="0" applyNumberFormat="1" applyFont="1" applyFill="1" applyBorder="1" applyAlignment="1">
      <alignment horizontal="center"/>
    </xf>
    <xf numFmtId="0" fontId="9" fillId="0" borderId="1" xfId="0" applyFont="1" applyBorder="1"/>
    <xf numFmtId="0" fontId="9" fillId="0" borderId="16" xfId="0" applyFont="1" applyBorder="1"/>
    <xf numFmtId="14" fontId="6" fillId="0" borderId="16" xfId="0" applyNumberFormat="1" applyFont="1" applyBorder="1"/>
    <xf numFmtId="0" fontId="6" fillId="11" borderId="16" xfId="0" applyFont="1" applyFill="1" applyBorder="1"/>
    <xf numFmtId="0" fontId="9" fillId="0" borderId="1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14" fontId="6" fillId="0" borderId="16" xfId="0" applyNumberFormat="1" applyFont="1" applyBorder="1" applyAlignment="1">
      <alignment horizontal="center"/>
    </xf>
    <xf numFmtId="0" fontId="6" fillId="11" borderId="16" xfId="0" applyFont="1" applyFill="1" applyBorder="1" applyAlignment="1">
      <alignment horizontal="center"/>
    </xf>
    <xf numFmtId="0" fontId="8" fillId="10" borderId="20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10" fillId="0" borderId="16" xfId="0" applyFont="1" applyBorder="1"/>
    <xf numFmtId="0" fontId="9" fillId="12" borderId="16" xfId="0" applyFont="1" applyFill="1" applyBorder="1"/>
    <xf numFmtId="0" fontId="6" fillId="12" borderId="16" xfId="0" applyFont="1" applyFill="1" applyBorder="1" applyAlignment="1">
      <alignment wrapText="1"/>
    </xf>
    <xf numFmtId="0" fontId="9" fillId="12" borderId="16" xfId="0" applyFont="1" applyFill="1" applyBorder="1" applyAlignment="1">
      <alignment horizontal="center"/>
    </xf>
    <xf numFmtId="0" fontId="6" fillId="12" borderId="16" xfId="0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164" fontId="0" fillId="6" borderId="17" xfId="0" applyNumberFormat="1" applyFill="1" applyBorder="1" applyAlignment="1">
      <alignment horizontal="center"/>
    </xf>
    <xf numFmtId="164" fontId="0" fillId="5" borderId="17" xfId="0" applyNumberFormat="1" applyFill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0" fontId="6" fillId="8" borderId="17" xfId="0" applyNumberFormat="1" applyFont="1" applyFill="1" applyBorder="1" applyAlignment="1">
      <alignment horizontal="center"/>
    </xf>
    <xf numFmtId="10" fontId="7" fillId="9" borderId="17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10" fontId="6" fillId="8" borderId="14" xfId="0" applyNumberFormat="1" applyFont="1" applyFill="1" applyBorder="1" applyAlignment="1">
      <alignment horizontal="center"/>
    </xf>
    <xf numFmtId="164" fontId="0" fillId="6" borderId="12" xfId="0" applyNumberFormat="1" applyFill="1" applyBorder="1" applyAlignment="1">
      <alignment horizontal="center"/>
    </xf>
    <xf numFmtId="164" fontId="0" fillId="4" borderId="17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 vertical="center"/>
    </xf>
    <xf numFmtId="0" fontId="0" fillId="13" borderId="0" xfId="0" applyFill="1"/>
    <xf numFmtId="0" fontId="0" fillId="13" borderId="16" xfId="0" applyFill="1" applyBorder="1" applyAlignment="1">
      <alignment horizontal="center" vertical="center"/>
    </xf>
    <xf numFmtId="0" fontId="0" fillId="13" borderId="16" xfId="0" applyFill="1" applyBorder="1"/>
    <xf numFmtId="0" fontId="0" fillId="13" borderId="16" xfId="0" applyFill="1" applyBorder="1" applyAlignment="1">
      <alignment horizontal="center"/>
    </xf>
    <xf numFmtId="164" fontId="0" fillId="13" borderId="22" xfId="0" applyNumberFormat="1" applyFill="1" applyBorder="1" applyAlignment="1">
      <alignment horizontal="center"/>
    </xf>
    <xf numFmtId="0" fontId="0" fillId="13" borderId="20" xfId="0" applyFill="1" applyBorder="1"/>
    <xf numFmtId="0" fontId="0" fillId="0" borderId="20" xfId="0" applyBorder="1" applyAlignment="1">
      <alignment horizontal="center" vertical="center"/>
    </xf>
    <xf numFmtId="0" fontId="0" fillId="13" borderId="20" xfId="0" applyFill="1" applyBorder="1" applyAlignment="1">
      <alignment horizontal="center" vertical="center"/>
    </xf>
    <xf numFmtId="0" fontId="6" fillId="0" borderId="20" xfId="0" applyFont="1" applyBorder="1"/>
    <xf numFmtId="0" fontId="2" fillId="0" borderId="23" xfId="0" applyFont="1" applyBorder="1" applyAlignment="1">
      <alignment horizontal="center" vertical="center"/>
    </xf>
    <xf numFmtId="0" fontId="0" fillId="14" borderId="0" xfId="0" applyFill="1"/>
    <xf numFmtId="0" fontId="6" fillId="14" borderId="14" xfId="0" applyFont="1" applyFill="1" applyBorder="1"/>
    <xf numFmtId="0" fontId="6" fillId="14" borderId="17" xfId="0" applyFont="1" applyFill="1" applyBorder="1"/>
    <xf numFmtId="0" fontId="6" fillId="14" borderId="17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8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2" fontId="0" fillId="14" borderId="1" xfId="0" applyNumberFormat="1" applyFill="1" applyBorder="1" applyAlignment="1">
      <alignment horizontal="center" vertical="center"/>
    </xf>
    <xf numFmtId="164" fontId="0" fillId="14" borderId="9" xfId="0" applyNumberForma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0" xfId="0" applyFont="1" applyFill="1" applyAlignment="1">
      <alignment horizontal="center"/>
    </xf>
    <xf numFmtId="164" fontId="0" fillId="14" borderId="9" xfId="0" applyNumberFormat="1" applyFill="1" applyBorder="1" applyAlignment="1">
      <alignment horizontal="center"/>
    </xf>
    <xf numFmtId="0" fontId="0" fillId="14" borderId="14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/>
    </xf>
    <xf numFmtId="164" fontId="0" fillId="14" borderId="17" xfId="0" applyNumberFormat="1" applyFill="1" applyBorder="1" applyAlignment="1">
      <alignment horizontal="center"/>
    </xf>
    <xf numFmtId="0" fontId="6" fillId="14" borderId="14" xfId="0" applyFont="1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0" fontId="6" fillId="11" borderId="20" xfId="0" applyFont="1" applyFill="1" applyBorder="1" applyAlignment="1">
      <alignment horizontal="center"/>
    </xf>
    <xf numFmtId="0" fontId="9" fillId="0" borderId="20" xfId="0" applyFont="1" applyBorder="1"/>
    <xf numFmtId="14" fontId="6" fillId="0" borderId="20" xfId="0" applyNumberFormat="1" applyFont="1" applyBorder="1"/>
    <xf numFmtId="0" fontId="9" fillId="0" borderId="20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9" fillId="12" borderId="20" xfId="0" applyFont="1" applyFill="1" applyBorder="1" applyAlignment="1">
      <alignment horizontal="center"/>
    </xf>
    <xf numFmtId="0" fontId="6" fillId="12" borderId="20" xfId="0" applyFont="1" applyFill="1" applyBorder="1" applyAlignment="1">
      <alignment horizontal="center" wrapText="1"/>
    </xf>
    <xf numFmtId="164" fontId="2" fillId="0" borderId="22" xfId="0" applyNumberFormat="1" applyFont="1" applyBorder="1" applyAlignment="1">
      <alignment horizontal="center"/>
    </xf>
    <xf numFmtId="2" fontId="0" fillId="0" borderId="20" xfId="0" applyNumberFormat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2" fontId="0" fillId="0" borderId="18" xfId="0" applyNumberFormat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0" xfId="0" applyNumberForma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10" fontId="6" fillId="8" borderId="24" xfId="0" applyNumberFormat="1" applyFont="1" applyFill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wrapText="1"/>
    </xf>
    <xf numFmtId="14" fontId="0" fillId="0" borderId="20" xfId="0" applyNumberFormat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0" fillId="15" borderId="20" xfId="0" applyFill="1" applyBorder="1" applyAlignment="1">
      <alignment horizontal="center" wrapText="1"/>
    </xf>
    <xf numFmtId="14" fontId="14" fillId="0" borderId="20" xfId="0" applyNumberFormat="1" applyFont="1" applyBorder="1" applyAlignment="1">
      <alignment horizontal="center"/>
    </xf>
    <xf numFmtId="0" fontId="15" fillId="0" borderId="14" xfId="0" applyFont="1" applyBorder="1"/>
    <xf numFmtId="0" fontId="10" fillId="0" borderId="17" xfId="0" applyFont="1" applyBorder="1"/>
    <xf numFmtId="0" fontId="9" fillId="0" borderId="14" xfId="0" applyFont="1" applyBorder="1"/>
    <xf numFmtId="0" fontId="9" fillId="0" borderId="17" xfId="0" applyFont="1" applyBorder="1"/>
    <xf numFmtId="0" fontId="3" fillId="14" borderId="8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0" fillId="14" borderId="16" xfId="0" applyFill="1" applyBorder="1" applyAlignment="1">
      <alignment horizontal="center" vertical="center"/>
    </xf>
    <xf numFmtId="164" fontId="0" fillId="14" borderId="22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20" xfId="0" applyNumberFormat="1" applyBorder="1"/>
    <xf numFmtId="0" fontId="0" fillId="16" borderId="20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22" xfId="0" applyNumberFormat="1" applyBorder="1" applyAlignment="1">
      <alignment horizontal="center"/>
    </xf>
    <xf numFmtId="0" fontId="16" fillId="0" borderId="20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9" fillId="17" borderId="1" xfId="0" applyFont="1" applyFill="1" applyBorder="1" applyAlignment="1">
      <alignment horizontal="center"/>
    </xf>
    <xf numFmtId="0" fontId="9" fillId="17" borderId="1" xfId="0" applyFont="1" applyFill="1" applyBorder="1"/>
    <xf numFmtId="0" fontId="18" fillId="17" borderId="14" xfId="0" applyFont="1" applyFill="1" applyBorder="1" applyAlignment="1">
      <alignment horizontal="center"/>
    </xf>
    <xf numFmtId="0" fontId="18" fillId="17" borderId="17" xfId="0" applyFont="1" applyFill="1" applyBorder="1" applyAlignment="1">
      <alignment horizontal="center"/>
    </xf>
    <xf numFmtId="10" fontId="19" fillId="18" borderId="17" xfId="0" applyNumberFormat="1" applyFont="1" applyFill="1" applyBorder="1" applyAlignment="1">
      <alignment horizontal="center"/>
    </xf>
    <xf numFmtId="0" fontId="19" fillId="18" borderId="17" xfId="0" applyFont="1" applyFill="1" applyBorder="1" applyAlignment="1">
      <alignment horizontal="center"/>
    </xf>
    <xf numFmtId="10" fontId="20" fillId="19" borderId="17" xfId="0" applyNumberFormat="1" applyFont="1" applyFill="1" applyBorder="1" applyAlignment="1">
      <alignment horizontal="center"/>
    </xf>
    <xf numFmtId="0" fontId="19" fillId="19" borderId="17" xfId="0" applyFont="1" applyFill="1" applyBorder="1" applyAlignment="1">
      <alignment horizontal="center"/>
    </xf>
    <xf numFmtId="0" fontId="21" fillId="17" borderId="14" xfId="0" applyFont="1" applyFill="1" applyBorder="1" applyAlignment="1">
      <alignment horizontal="center"/>
    </xf>
    <xf numFmtId="0" fontId="21" fillId="17" borderId="17" xfId="0" applyFont="1" applyFill="1" applyBorder="1" applyAlignment="1">
      <alignment horizontal="center"/>
    </xf>
    <xf numFmtId="10" fontId="21" fillId="18" borderId="17" xfId="0" applyNumberFormat="1" applyFont="1" applyFill="1" applyBorder="1" applyAlignment="1">
      <alignment horizontal="center"/>
    </xf>
    <xf numFmtId="0" fontId="21" fillId="18" borderId="17" xfId="0" applyFon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0" fontId="22" fillId="20" borderId="17" xfId="0" applyNumberFormat="1" applyFont="1" applyFill="1" applyBorder="1" applyAlignment="1">
      <alignment horizontal="center"/>
    </xf>
    <xf numFmtId="0" fontId="22" fillId="20" borderId="17" xfId="0" applyFont="1" applyFill="1" applyBorder="1" applyAlignment="1">
      <alignment horizontal="center"/>
    </xf>
    <xf numFmtId="10" fontId="23" fillId="21" borderId="17" xfId="0" applyNumberFormat="1" applyFont="1" applyFill="1" applyBorder="1" applyAlignment="1">
      <alignment horizontal="center"/>
    </xf>
    <xf numFmtId="0" fontId="23" fillId="21" borderId="17" xfId="0" applyFont="1" applyFill="1" applyBorder="1" applyAlignment="1">
      <alignment horizontal="center"/>
    </xf>
    <xf numFmtId="10" fontId="24" fillId="20" borderId="17" xfId="0" applyNumberFormat="1" applyFont="1" applyFill="1" applyBorder="1" applyAlignment="1">
      <alignment horizontal="center"/>
    </xf>
    <xf numFmtId="0" fontId="23" fillId="20" borderId="17" xfId="0" applyFont="1" applyFill="1" applyBorder="1" applyAlignment="1">
      <alignment horizontal="center"/>
    </xf>
    <xf numFmtId="0" fontId="6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16" borderId="26" xfId="0" applyFill="1" applyBorder="1" applyAlignment="1">
      <alignment horizontal="center"/>
    </xf>
    <xf numFmtId="0" fontId="26" fillId="0" borderId="20" xfId="0" applyFont="1" applyBorder="1" applyAlignment="1">
      <alignment horizontal="center" wrapText="1"/>
    </xf>
    <xf numFmtId="0" fontId="27" fillId="17" borderId="14" xfId="0" applyFont="1" applyFill="1" applyBorder="1" applyAlignment="1">
      <alignment horizontal="center"/>
    </xf>
    <xf numFmtId="0" fontId="27" fillId="17" borderId="17" xfId="0" applyFont="1" applyFill="1" applyBorder="1" applyAlignment="1">
      <alignment horizontal="center"/>
    </xf>
    <xf numFmtId="10" fontId="28" fillId="21" borderId="17" xfId="0" applyNumberFormat="1" applyFont="1" applyFill="1" applyBorder="1" applyAlignment="1">
      <alignment horizontal="center"/>
    </xf>
    <xf numFmtId="0" fontId="28" fillId="21" borderId="17" xfId="0" applyFont="1" applyFill="1" applyBorder="1" applyAlignment="1">
      <alignment horizontal="center"/>
    </xf>
    <xf numFmtId="14" fontId="12" fillId="0" borderId="20" xfId="0" applyNumberFormat="1" applyFont="1" applyBorder="1"/>
    <xf numFmtId="0" fontId="0" fillId="0" borderId="22" xfId="0" applyBorder="1" applyAlignment="1">
      <alignment horizontal="center"/>
    </xf>
    <xf numFmtId="0" fontId="6" fillId="11" borderId="26" xfId="0" applyFont="1" applyFill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2" xfId="0" applyFont="1" applyBorder="1"/>
    <xf numFmtId="0" fontId="29" fillId="19" borderId="0" xfId="0" applyFont="1" applyFill="1" applyAlignment="1">
      <alignment horizontal="center"/>
    </xf>
    <xf numFmtId="0" fontId="0" fillId="19" borderId="20" xfId="0" applyFill="1" applyBorder="1" applyAlignment="1">
      <alignment horizontal="center" wrapText="1"/>
    </xf>
    <xf numFmtId="0" fontId="29" fillId="19" borderId="20" xfId="0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10" fontId="30" fillId="18" borderId="17" xfId="0" applyNumberFormat="1" applyFont="1" applyFill="1" applyBorder="1" applyAlignment="1">
      <alignment horizontal="center"/>
    </xf>
    <xf numFmtId="0" fontId="31" fillId="18" borderId="17" xfId="0" applyFont="1" applyFill="1" applyBorder="1" applyAlignment="1">
      <alignment horizontal="center"/>
    </xf>
    <xf numFmtId="10" fontId="31" fillId="20" borderId="17" xfId="0" applyNumberFormat="1" applyFont="1" applyFill="1" applyBorder="1" applyAlignment="1">
      <alignment horizontal="center"/>
    </xf>
    <xf numFmtId="0" fontId="31" fillId="20" borderId="17" xfId="0" applyFont="1" applyFill="1" applyBorder="1" applyAlignment="1">
      <alignment horizontal="center"/>
    </xf>
    <xf numFmtId="10" fontId="32" fillId="18" borderId="17" xfId="0" applyNumberFormat="1" applyFont="1" applyFill="1" applyBorder="1" applyAlignment="1">
      <alignment horizontal="center"/>
    </xf>
    <xf numFmtId="0" fontId="0" fillId="0" borderId="16" xfId="0" applyBorder="1"/>
    <xf numFmtId="0" fontId="22" fillId="17" borderId="14" xfId="0" applyFont="1" applyFill="1" applyBorder="1" applyAlignment="1">
      <alignment horizontal="center"/>
    </xf>
    <xf numFmtId="0" fontId="22" fillId="17" borderId="17" xfId="0" applyFont="1" applyFill="1" applyBorder="1" applyAlignment="1">
      <alignment horizontal="center"/>
    </xf>
    <xf numFmtId="0" fontId="22" fillId="17" borderId="17" xfId="0" quotePrefix="1" applyFont="1" applyFill="1" applyBorder="1" applyAlignment="1">
      <alignment horizontal="center"/>
    </xf>
    <xf numFmtId="0" fontId="31" fillId="20" borderId="17" xfId="0" quotePrefix="1" applyFont="1" applyFill="1" applyBorder="1" applyAlignment="1">
      <alignment horizontal="center"/>
    </xf>
    <xf numFmtId="0" fontId="33" fillId="17" borderId="17" xfId="0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10" fontId="30" fillId="21" borderId="17" xfId="0" applyNumberFormat="1" applyFont="1" applyFill="1" applyBorder="1" applyAlignment="1">
      <alignment horizontal="center"/>
    </xf>
    <xf numFmtId="0" fontId="30" fillId="21" borderId="17" xfId="0" applyFont="1" applyFill="1" applyBorder="1" applyAlignment="1">
      <alignment horizontal="center"/>
    </xf>
    <xf numFmtId="0" fontId="30" fillId="20" borderId="17" xfId="0" applyFont="1" applyFill="1" applyBorder="1" applyAlignment="1">
      <alignment horizontal="center"/>
    </xf>
    <xf numFmtId="10" fontId="34" fillId="22" borderId="1" xfId="0" applyNumberFormat="1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10" fontId="35" fillId="23" borderId="1" xfId="0" applyNumberFormat="1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10" fontId="22" fillId="17" borderId="17" xfId="0" applyNumberFormat="1" applyFont="1" applyFill="1" applyBorder="1" applyAlignment="1">
      <alignment horizontal="center"/>
    </xf>
    <xf numFmtId="0" fontId="30" fillId="17" borderId="17" xfId="0" applyFont="1" applyFill="1" applyBorder="1" applyAlignment="1">
      <alignment horizontal="center"/>
    </xf>
    <xf numFmtId="10" fontId="30" fillId="17" borderId="17" xfId="0" applyNumberFormat="1" applyFont="1" applyFill="1" applyBorder="1" applyAlignment="1">
      <alignment horizontal="center"/>
    </xf>
    <xf numFmtId="0" fontId="21" fillId="17" borderId="19" xfId="0" applyFont="1" applyFill="1" applyBorder="1" applyAlignment="1">
      <alignment horizontal="center"/>
    </xf>
    <xf numFmtId="0" fontId="21" fillId="17" borderId="24" xfId="0" applyFont="1" applyFill="1" applyBorder="1" applyAlignment="1">
      <alignment horizontal="center"/>
    </xf>
    <xf numFmtId="0" fontId="37" fillId="17" borderId="14" xfId="0" applyFont="1" applyFill="1" applyBorder="1" applyAlignment="1">
      <alignment horizontal="center"/>
    </xf>
    <xf numFmtId="0" fontId="37" fillId="17" borderId="17" xfId="0" applyFont="1" applyFill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0" fontId="41" fillId="21" borderId="17" xfId="0" applyNumberFormat="1" applyFont="1" applyFill="1" applyBorder="1" applyAlignment="1">
      <alignment horizontal="center"/>
    </xf>
    <xf numFmtId="0" fontId="40" fillId="0" borderId="14" xfId="0" applyFont="1" applyBorder="1" applyAlignment="1">
      <alignment horizontal="center"/>
    </xf>
    <xf numFmtId="0" fontId="41" fillId="21" borderId="17" xfId="0" applyFont="1" applyFill="1" applyBorder="1" applyAlignment="1">
      <alignment horizontal="center"/>
    </xf>
    <xf numFmtId="0" fontId="42" fillId="0" borderId="17" xfId="0" applyFont="1" applyBorder="1" applyAlignment="1">
      <alignment horizontal="center"/>
    </xf>
    <xf numFmtId="10" fontId="42" fillId="23" borderId="1" xfId="0" applyNumberFormat="1" applyFont="1" applyFill="1" applyBorder="1" applyAlignment="1">
      <alignment horizontal="center"/>
    </xf>
    <xf numFmtId="0" fontId="6" fillId="24" borderId="1" xfId="0" applyFont="1" applyFill="1" applyBorder="1" applyAlignment="1">
      <alignment horizontal="center"/>
    </xf>
    <xf numFmtId="0" fontId="6" fillId="24" borderId="16" xfId="0" applyFont="1" applyFill="1" applyBorder="1" applyAlignment="1">
      <alignment horizontal="center"/>
    </xf>
    <xf numFmtId="0" fontId="6" fillId="24" borderId="14" xfId="0" applyFont="1" applyFill="1" applyBorder="1" applyAlignment="1">
      <alignment horizontal="center"/>
    </xf>
    <xf numFmtId="0" fontId="6" fillId="24" borderId="17" xfId="0" applyFont="1" applyFill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2" fillId="0" borderId="16" xfId="0" applyFont="1" applyBorder="1" applyAlignment="1">
      <alignment horizontal="center"/>
    </xf>
    <xf numFmtId="10" fontId="6" fillId="20" borderId="1" xfId="0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0" fontId="44" fillId="22" borderId="1" xfId="0" applyNumberFormat="1" applyFont="1" applyFill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14" fontId="13" fillId="0" borderId="20" xfId="0" applyNumberFormat="1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45" fillId="0" borderId="1" xfId="0" applyFont="1" applyBorder="1" applyAlignment="1">
      <alignment horizontal="center"/>
    </xf>
    <xf numFmtId="14" fontId="45" fillId="0" borderId="20" xfId="0" applyNumberFormat="1" applyFont="1" applyBorder="1" applyAlignment="1">
      <alignment horizontal="center"/>
    </xf>
    <xf numFmtId="0" fontId="45" fillId="16" borderId="20" xfId="0" applyFont="1" applyFill="1" applyBorder="1" applyAlignment="1">
      <alignment horizontal="center" wrapText="1"/>
    </xf>
    <xf numFmtId="0" fontId="45" fillId="13" borderId="20" xfId="0" applyFont="1" applyFill="1" applyBorder="1" applyAlignment="1">
      <alignment horizontal="center"/>
    </xf>
    <xf numFmtId="0" fontId="45" fillId="16" borderId="2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14" borderId="0" xfId="0" applyFont="1" applyFill="1" applyAlignment="1">
      <alignment horizontal="center"/>
    </xf>
    <xf numFmtId="0" fontId="45" fillId="0" borderId="22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5" fillId="16" borderId="26" xfId="0" applyFont="1" applyFill="1" applyBorder="1" applyAlignment="1">
      <alignment horizontal="center" wrapText="1"/>
    </xf>
    <xf numFmtId="0" fontId="45" fillId="17" borderId="20" xfId="0" applyFont="1" applyFill="1" applyBorder="1" applyAlignment="1">
      <alignment horizontal="center"/>
    </xf>
    <xf numFmtId="14" fontId="47" fillId="0" borderId="20" xfId="0" applyNumberFormat="1" applyFont="1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15" borderId="1" xfId="0" applyFill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4" fontId="47" fillId="0" borderId="22" xfId="0" applyNumberFormat="1" applyFont="1" applyBorder="1" applyAlignment="1">
      <alignment horizontal="center"/>
    </xf>
    <xf numFmtId="14" fontId="47" fillId="16" borderId="1" xfId="0" applyNumberFormat="1" applyFont="1" applyFill="1" applyBorder="1" applyAlignment="1">
      <alignment horizontal="center"/>
    </xf>
    <xf numFmtId="14" fontId="47" fillId="16" borderId="20" xfId="0" applyNumberFormat="1" applyFont="1" applyFill="1" applyBorder="1" applyAlignment="1">
      <alignment horizontal="center"/>
    </xf>
    <xf numFmtId="14" fontId="13" fillId="0" borderId="22" xfId="0" applyNumberFormat="1" applyFont="1" applyBorder="1" applyAlignment="1">
      <alignment horizontal="center"/>
    </xf>
    <xf numFmtId="14" fontId="47" fillId="16" borderId="22" xfId="0" applyNumberFormat="1" applyFont="1" applyFill="1" applyBorder="1" applyAlignment="1">
      <alignment horizontal="center"/>
    </xf>
    <xf numFmtId="0" fontId="6" fillId="11" borderId="20" xfId="0" applyFont="1" applyFill="1" applyBorder="1"/>
    <xf numFmtId="0" fontId="6" fillId="0" borderId="22" xfId="0" applyFont="1" applyBorder="1"/>
    <xf numFmtId="0" fontId="6" fillId="0" borderId="27" xfId="0" applyFont="1" applyBorder="1"/>
    <xf numFmtId="0" fontId="6" fillId="0" borderId="2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17" xfId="0" quotePrefix="1" applyFont="1" applyBorder="1" applyAlignment="1">
      <alignment horizontal="center"/>
    </xf>
    <xf numFmtId="0" fontId="6" fillId="25" borderId="1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 vertical="center"/>
    </xf>
    <xf numFmtId="0" fontId="48" fillId="0" borderId="0" xfId="0" applyFont="1"/>
    <xf numFmtId="0" fontId="17" fillId="0" borderId="20" xfId="0" applyFont="1" applyBorder="1" applyAlignment="1">
      <alignment horizontal="center"/>
    </xf>
    <xf numFmtId="0" fontId="19" fillId="17" borderId="17" xfId="0" applyFont="1" applyFill="1" applyBorder="1" applyAlignment="1">
      <alignment horizontal="center"/>
    </xf>
    <xf numFmtId="0" fontId="0" fillId="17" borderId="0" xfId="0" applyFill="1" applyAlignment="1">
      <alignment horizontal="center"/>
    </xf>
    <xf numFmtId="0" fontId="0" fillId="17" borderId="0" xfId="0" applyFill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164" fontId="0" fillId="17" borderId="1" xfId="0" applyNumberFormat="1" applyFill="1" applyBorder="1" applyAlignment="1">
      <alignment horizontal="center"/>
    </xf>
    <xf numFmtId="0" fontId="0" fillId="16" borderId="22" xfId="0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14" fontId="0" fillId="0" borderId="26" xfId="0" applyNumberFormat="1" applyBorder="1" applyAlignment="1">
      <alignment horizontal="center"/>
    </xf>
    <xf numFmtId="0" fontId="49" fillId="0" borderId="0" xfId="0" applyFont="1" applyAlignment="1">
      <alignment horizontal="center"/>
    </xf>
    <xf numFmtId="0" fontId="1" fillId="17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26" borderId="1" xfId="0" applyFill="1" applyBorder="1" applyAlignment="1">
      <alignment horizontal="center" vertical="center"/>
    </xf>
    <xf numFmtId="164" fontId="0" fillId="26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3" fillId="0" borderId="17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6" fillId="17" borderId="14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/>
    </xf>
    <xf numFmtId="0" fontId="46" fillId="0" borderId="1" xfId="0" applyFont="1" applyBorder="1" applyAlignment="1">
      <alignment horizontal="center" vertical="center"/>
    </xf>
    <xf numFmtId="164" fontId="0" fillId="26" borderId="1" xfId="0" applyNumberFormat="1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10" fontId="34" fillId="0" borderId="16" xfId="0" applyNumberFormat="1" applyFont="1" applyBorder="1" applyAlignment="1">
      <alignment horizontal="center"/>
    </xf>
    <xf numFmtId="10" fontId="34" fillId="0" borderId="17" xfId="0" applyNumberFormat="1" applyFont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wrapText="1"/>
    </xf>
    <xf numFmtId="0" fontId="21" fillId="0" borderId="28" xfId="0" applyFont="1" applyBorder="1" applyAlignment="1">
      <alignment wrapText="1"/>
    </xf>
    <xf numFmtId="0" fontId="21" fillId="0" borderId="29" xfId="0" applyFont="1" applyBorder="1" applyAlignment="1">
      <alignment wrapText="1"/>
    </xf>
    <xf numFmtId="0" fontId="21" fillId="18" borderId="29" xfId="0" applyFont="1" applyFill="1" applyBorder="1" applyAlignment="1">
      <alignment wrapText="1"/>
    </xf>
    <xf numFmtId="10" fontId="21" fillId="18" borderId="29" xfId="0" applyNumberFormat="1" applyFont="1" applyFill="1" applyBorder="1" applyAlignment="1">
      <alignment wrapText="1"/>
    </xf>
    <xf numFmtId="0" fontId="21" fillId="17" borderId="30" xfId="0" applyFont="1" applyFill="1" applyBorder="1" applyAlignment="1">
      <alignment wrapText="1"/>
    </xf>
    <xf numFmtId="0" fontId="21" fillId="17" borderId="31" xfId="0" applyFont="1" applyFill="1" applyBorder="1" applyAlignment="1">
      <alignment wrapText="1"/>
    </xf>
    <xf numFmtId="10" fontId="30" fillId="21" borderId="32" xfId="0" applyNumberFormat="1" applyFont="1" applyFill="1" applyBorder="1" applyAlignment="1">
      <alignment wrapText="1"/>
    </xf>
    <xf numFmtId="0" fontId="21" fillId="17" borderId="30" xfId="0" applyFont="1" applyFill="1" applyBorder="1"/>
    <xf numFmtId="0" fontId="21" fillId="17" borderId="31" xfId="0" applyFont="1" applyFill="1" applyBorder="1"/>
    <xf numFmtId="10" fontId="32" fillId="18" borderId="33" xfId="0" applyNumberFormat="1" applyFont="1" applyFill="1" applyBorder="1"/>
    <xf numFmtId="0" fontId="22" fillId="17" borderId="34" xfId="0" applyFont="1" applyFill="1" applyBorder="1"/>
    <xf numFmtId="0" fontId="22" fillId="17" borderId="35" xfId="0" applyFont="1" applyFill="1" applyBorder="1"/>
    <xf numFmtId="0" fontId="22" fillId="17" borderId="35" xfId="0" quotePrefix="1" applyFont="1" applyFill="1" applyBorder="1"/>
    <xf numFmtId="0" fontId="31" fillId="20" borderId="36" xfId="0" quotePrefix="1" applyFont="1" applyFill="1" applyBorder="1"/>
    <xf numFmtId="0" fontId="29" fillId="0" borderId="30" xfId="0" applyFont="1" applyBorder="1"/>
    <xf numFmtId="0" fontId="29" fillId="0" borderId="31" xfId="0" applyFont="1" applyBorder="1"/>
    <xf numFmtId="0" fontId="29" fillId="18" borderId="31" xfId="0" applyFont="1" applyFill="1" applyBorder="1"/>
    <xf numFmtId="10" fontId="29" fillId="18" borderId="31" xfId="0" applyNumberFormat="1" applyFont="1" applyFill="1" applyBorder="1"/>
    <xf numFmtId="10" fontId="34" fillId="22" borderId="1" xfId="0" applyNumberFormat="1" applyFont="1" applyFill="1" applyBorder="1"/>
    <xf numFmtId="0" fontId="50" fillId="0" borderId="1" xfId="0" applyFont="1" applyBorder="1" applyAlignment="1">
      <alignment wrapText="1"/>
    </xf>
    <xf numFmtId="0" fontId="50" fillId="0" borderId="16" xfId="0" applyFont="1" applyBorder="1"/>
    <xf numFmtId="0" fontId="51" fillId="0" borderId="14" xfId="0" applyFont="1" applyBorder="1"/>
    <xf numFmtId="0" fontId="51" fillId="0" borderId="17" xfId="0" applyFont="1" applyBorder="1"/>
    <xf numFmtId="0" fontId="51" fillId="18" borderId="17" xfId="0" applyFont="1" applyFill="1" applyBorder="1"/>
    <xf numFmtId="10" fontId="51" fillId="18" borderId="17" xfId="0" applyNumberFormat="1" applyFont="1" applyFill="1" applyBorder="1"/>
    <xf numFmtId="0" fontId="52" fillId="0" borderId="31" xfId="0" applyFont="1" applyBorder="1"/>
    <xf numFmtId="0" fontId="51" fillId="28" borderId="14" xfId="0" applyFont="1" applyFill="1" applyBorder="1"/>
    <xf numFmtId="0" fontId="40" fillId="28" borderId="31" xfId="0" applyFont="1" applyFill="1" applyBorder="1"/>
    <xf numFmtId="0" fontId="40" fillId="29" borderId="31" xfId="0" applyFont="1" applyFill="1" applyBorder="1"/>
    <xf numFmtId="10" fontId="40" fillId="29" borderId="31" xfId="0" applyNumberFormat="1" applyFont="1" applyFill="1" applyBorder="1"/>
    <xf numFmtId="0" fontId="52" fillId="28" borderId="31" xfId="0" applyFont="1" applyFill="1" applyBorder="1"/>
    <xf numFmtId="0" fontId="52" fillId="28" borderId="30" xfId="0" applyFont="1" applyFill="1" applyBorder="1"/>
    <xf numFmtId="0" fontId="40" fillId="28" borderId="30" xfId="0" applyFont="1" applyFill="1" applyBorder="1"/>
    <xf numFmtId="0" fontId="53" fillId="0" borderId="17" xfId="0" applyFont="1" applyBorder="1"/>
    <xf numFmtId="0" fontId="54" fillId="0" borderId="1" xfId="0" applyFont="1" applyBorder="1"/>
    <xf numFmtId="0" fontId="54" fillId="0" borderId="26" xfId="0" applyFont="1" applyBorder="1"/>
    <xf numFmtId="0" fontId="40" fillId="0" borderId="30" xfId="0" applyFont="1" applyBorder="1"/>
    <xf numFmtId="0" fontId="40" fillId="0" borderId="31" xfId="0" applyFont="1" applyBorder="1"/>
    <xf numFmtId="0" fontId="40" fillId="18" borderId="31" xfId="0" applyFont="1" applyFill="1" applyBorder="1"/>
    <xf numFmtId="10" fontId="40" fillId="18" borderId="31" xfId="0" applyNumberFormat="1" applyFont="1" applyFill="1" applyBorder="1"/>
    <xf numFmtId="0" fontId="40" fillId="20" borderId="31" xfId="0" applyFont="1" applyFill="1" applyBorder="1"/>
    <xf numFmtId="10" fontId="40" fillId="20" borderId="31" xfId="0" applyNumberFormat="1" applyFont="1" applyFill="1" applyBorder="1"/>
    <xf numFmtId="0" fontId="55" fillId="0" borderId="1" xfId="0" applyFont="1" applyBorder="1"/>
    <xf numFmtId="0" fontId="55" fillId="0" borderId="37" xfId="0" applyFont="1" applyBorder="1"/>
    <xf numFmtId="0" fontId="40" fillId="0" borderId="26" xfId="0" applyFont="1" applyBorder="1"/>
    <xf numFmtId="0" fontId="56" fillId="20" borderId="1" xfId="0" applyFont="1" applyFill="1" applyBorder="1"/>
    <xf numFmtId="10" fontId="41" fillId="21" borderId="1" xfId="0" applyNumberFormat="1" applyFont="1" applyFill="1" applyBorder="1"/>
    <xf numFmtId="10" fontId="57" fillId="20" borderId="1" xfId="0" applyNumberFormat="1" applyFont="1" applyFill="1" applyBorder="1"/>
    <xf numFmtId="0" fontId="40" fillId="0" borderId="1" xfId="0" applyFont="1" applyBorder="1"/>
    <xf numFmtId="0" fontId="58" fillId="0" borderId="26" xfId="0" applyFont="1" applyBorder="1"/>
    <xf numFmtId="0" fontId="59" fillId="0" borderId="31" xfId="0" applyFont="1" applyBorder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2" fillId="0" borderId="30" xfId="0" applyFont="1" applyBorder="1"/>
    <xf numFmtId="0" fontId="8" fillId="0" borderId="20" xfId="0" applyFont="1" applyBorder="1" applyAlignment="1">
      <alignment horizontal="center"/>
    </xf>
  </cellXfs>
  <cellStyles count="1">
    <cellStyle name="Normal" xfId="0" builtinId="0"/>
  </cellStyles>
  <dxfs count="153"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3"/>
      </font>
      <fill>
        <patternFill>
          <bgColor theme="8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4"/>
      </font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E591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C335-7BF2-D444-BF6C-40FD88EF31CB}">
  <sheetPr>
    <pageSetUpPr fitToPage="1"/>
  </sheetPr>
  <dimension ref="A1:M152"/>
  <sheetViews>
    <sheetView workbookViewId="0">
      <pane ySplit="1" topLeftCell="A134" activePane="bottomLeft" state="frozen"/>
      <selection pane="bottomLeft" activeCell="E144" sqref="E144"/>
    </sheetView>
  </sheetViews>
  <sheetFormatPr baseColWidth="10" defaultColWidth="11" defaultRowHeight="15.75" customHeight="1"/>
  <cols>
    <col min="1" max="1" width="13.5" bestFit="1" customWidth="1"/>
    <col min="2" max="2" width="17.5" bestFit="1" customWidth="1"/>
    <col min="4" max="4" width="20.1640625" bestFit="1" customWidth="1"/>
    <col min="6" max="6" width="16.6640625" style="51" bestFit="1" customWidth="1"/>
    <col min="7" max="7" width="19.6640625" style="51" bestFit="1" customWidth="1"/>
    <col min="8" max="8" width="18.33203125" style="51" bestFit="1" customWidth="1"/>
    <col min="9" max="9" width="12.1640625" bestFit="1" customWidth="1"/>
    <col min="10" max="10" width="26.6640625" style="285" bestFit="1" customWidth="1"/>
    <col min="11" max="11" width="13.33203125" style="285" bestFit="1" customWidth="1"/>
    <col min="12" max="12" width="17.33203125" style="285" bestFit="1" customWidth="1"/>
    <col min="13" max="13" width="17.5" style="285" customWidth="1"/>
  </cols>
  <sheetData>
    <row r="1" spans="1:13" ht="16">
      <c r="A1" s="121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5" t="s">
        <v>7</v>
      </c>
      <c r="I1" s="73" t="s">
        <v>8</v>
      </c>
      <c r="J1" s="88" t="s">
        <v>9</v>
      </c>
      <c r="K1" s="88" t="s">
        <v>10</v>
      </c>
      <c r="L1" s="88" t="s">
        <v>11</v>
      </c>
      <c r="M1" s="88" t="s">
        <v>12</v>
      </c>
    </row>
    <row r="2" spans="1:13" ht="16">
      <c r="A2" s="118" t="s">
        <v>13</v>
      </c>
      <c r="B2" s="100" t="s">
        <v>14</v>
      </c>
      <c r="C2" s="3" t="s">
        <v>15</v>
      </c>
      <c r="D2" s="7" t="s">
        <v>16</v>
      </c>
      <c r="E2" s="7" t="s">
        <v>17</v>
      </c>
      <c r="F2" s="4">
        <v>18.771000000000001</v>
      </c>
      <c r="G2" s="3">
        <f t="shared" ref="G2:G4" si="0">F2/F3</f>
        <v>0.81865759518513681</v>
      </c>
      <c r="H2" s="76">
        <f t="shared" ref="H2:H4" si="1">(G2-0.94)/0.52</f>
        <v>-0.2333507784901214</v>
      </c>
      <c r="I2" s="74" t="s">
        <v>18</v>
      </c>
      <c r="J2" s="279"/>
      <c r="K2" s="279"/>
      <c r="L2" s="279"/>
      <c r="M2" s="279"/>
    </row>
    <row r="3" spans="1:13" ht="16">
      <c r="A3" s="118"/>
      <c r="B3" s="100"/>
      <c r="C3" s="7"/>
      <c r="D3" s="7" t="s">
        <v>16</v>
      </c>
      <c r="E3" s="7" t="s">
        <v>19</v>
      </c>
      <c r="F3" s="4">
        <v>22.928999999999998</v>
      </c>
      <c r="G3" s="3"/>
      <c r="H3" s="76"/>
      <c r="I3" s="73"/>
      <c r="J3" s="279"/>
      <c r="K3" s="279"/>
      <c r="L3" s="279"/>
      <c r="M3" s="279"/>
    </row>
    <row r="4" spans="1:13" ht="16">
      <c r="A4" s="118" t="s">
        <v>13</v>
      </c>
      <c r="B4" s="100" t="s">
        <v>20</v>
      </c>
      <c r="C4" s="3" t="s">
        <v>21</v>
      </c>
      <c r="D4" s="7" t="s">
        <v>22</v>
      </c>
      <c r="E4" s="7" t="s">
        <v>17</v>
      </c>
      <c r="F4" s="4">
        <v>19.021000000000001</v>
      </c>
      <c r="G4" s="3">
        <f t="shared" si="0"/>
        <v>0.93135190716349225</v>
      </c>
      <c r="H4" s="76">
        <f t="shared" si="1"/>
        <v>-1.6630947762514794E-2</v>
      </c>
      <c r="I4" s="55" t="s">
        <v>18</v>
      </c>
      <c r="J4" s="66" t="s">
        <v>23</v>
      </c>
      <c r="K4" s="68" t="s">
        <v>13</v>
      </c>
      <c r="L4" s="86">
        <v>44753</v>
      </c>
      <c r="M4" s="87" t="s">
        <v>24</v>
      </c>
    </row>
    <row r="5" spans="1:13" ht="16">
      <c r="A5" s="118"/>
      <c r="B5" s="100"/>
      <c r="C5" s="7"/>
      <c r="D5" s="7" t="s">
        <v>22</v>
      </c>
      <c r="E5" s="7" t="s">
        <v>19</v>
      </c>
      <c r="F5" s="4">
        <v>20.422999999999998</v>
      </c>
      <c r="G5" s="3"/>
      <c r="H5" s="76"/>
      <c r="I5" s="73"/>
      <c r="J5" s="279"/>
      <c r="K5" s="279"/>
      <c r="L5" s="279"/>
      <c r="M5" s="279"/>
    </row>
    <row r="6" spans="1:13" ht="16">
      <c r="A6" s="118"/>
      <c r="B6" s="100"/>
      <c r="C6" s="236"/>
      <c r="D6" s="236"/>
      <c r="E6" s="236"/>
      <c r="F6" s="107"/>
      <c r="G6" s="100"/>
      <c r="H6" s="184"/>
      <c r="I6" s="73"/>
      <c r="J6" s="279"/>
      <c r="K6" s="279"/>
      <c r="L6" s="279"/>
      <c r="M6" s="279"/>
    </row>
    <row r="7" spans="1:13" ht="16">
      <c r="A7" s="198" t="s">
        <v>25</v>
      </c>
      <c r="B7" s="199" t="s">
        <v>26</v>
      </c>
      <c r="C7" s="199" t="s">
        <v>15</v>
      </c>
      <c r="D7" s="199" t="s">
        <v>27</v>
      </c>
      <c r="E7" s="199" t="s">
        <v>17</v>
      </c>
      <c r="F7" s="199">
        <v>17.446000000000002</v>
      </c>
      <c r="G7" s="199">
        <v>0.78082620999999997</v>
      </c>
      <c r="H7" s="235">
        <v>-0.30599999999999999</v>
      </c>
      <c r="I7" s="55" t="s">
        <v>28</v>
      </c>
      <c r="J7" s="279"/>
      <c r="K7" s="279"/>
      <c r="L7" s="279"/>
      <c r="M7" s="279"/>
    </row>
    <row r="8" spans="1:13" ht="16">
      <c r="A8" s="198" t="s">
        <v>29</v>
      </c>
      <c r="B8" s="199" t="s">
        <v>29</v>
      </c>
      <c r="C8" s="199" t="s">
        <v>29</v>
      </c>
      <c r="D8" s="199" t="s">
        <v>27</v>
      </c>
      <c r="E8" s="199" t="s">
        <v>19</v>
      </c>
      <c r="F8" s="199">
        <v>22.343</v>
      </c>
      <c r="G8" s="199" t="s">
        <v>29</v>
      </c>
      <c r="H8" s="199" t="s">
        <v>29</v>
      </c>
      <c r="I8" s="73"/>
      <c r="J8" s="279"/>
      <c r="K8" s="279"/>
      <c r="L8" s="279"/>
      <c r="M8" s="279"/>
    </row>
    <row r="9" spans="1:13" ht="16">
      <c r="A9" s="198" t="s">
        <v>25</v>
      </c>
      <c r="B9" s="199" t="s">
        <v>20</v>
      </c>
      <c r="C9" s="199" t="s">
        <v>30</v>
      </c>
      <c r="D9" s="199" t="s">
        <v>31</v>
      </c>
      <c r="E9" s="199" t="s">
        <v>17</v>
      </c>
      <c r="F9" s="199">
        <v>17.204000000000001</v>
      </c>
      <c r="G9" s="199">
        <v>0.78481821100000004</v>
      </c>
      <c r="H9" s="235">
        <v>-0.29799999999999999</v>
      </c>
      <c r="I9" s="55" t="s">
        <v>28</v>
      </c>
      <c r="J9" s="279"/>
      <c r="K9" s="279"/>
      <c r="L9" s="279"/>
      <c r="M9" s="279"/>
    </row>
    <row r="10" spans="1:13" ht="16">
      <c r="A10" s="198" t="s">
        <v>29</v>
      </c>
      <c r="B10" s="199" t="s">
        <v>29</v>
      </c>
      <c r="C10" s="199" t="s">
        <v>29</v>
      </c>
      <c r="D10" s="199" t="s">
        <v>31</v>
      </c>
      <c r="E10" s="199" t="s">
        <v>19</v>
      </c>
      <c r="F10" s="199">
        <v>21.920999999999999</v>
      </c>
      <c r="G10" s="199" t="s">
        <v>29</v>
      </c>
      <c r="H10" s="199" t="s">
        <v>29</v>
      </c>
      <c r="I10" s="73"/>
      <c r="J10" s="279"/>
      <c r="K10" s="279"/>
      <c r="L10" s="279"/>
      <c r="M10" s="279"/>
    </row>
    <row r="11" spans="1:13" ht="16">
      <c r="A11" s="198" t="s">
        <v>25</v>
      </c>
      <c r="B11" s="199" t="s">
        <v>32</v>
      </c>
      <c r="C11" s="199" t="s">
        <v>33</v>
      </c>
      <c r="D11" s="199" t="s">
        <v>34</v>
      </c>
      <c r="E11" s="199" t="s">
        <v>17</v>
      </c>
      <c r="F11" s="199">
        <v>18.215</v>
      </c>
      <c r="G11" s="199">
        <v>0.82957598899999996</v>
      </c>
      <c r="H11" s="235">
        <v>-0.21199999999999999</v>
      </c>
      <c r="I11" s="55" t="s">
        <v>28</v>
      </c>
      <c r="J11" s="280" t="s">
        <v>35</v>
      </c>
      <c r="K11" s="280" t="s">
        <v>25</v>
      </c>
      <c r="L11" s="281">
        <v>44893</v>
      </c>
      <c r="M11" s="282" t="s">
        <v>24</v>
      </c>
    </row>
    <row r="12" spans="1:13" ht="16">
      <c r="A12" s="198" t="s">
        <v>29</v>
      </c>
      <c r="B12" s="199" t="s">
        <v>29</v>
      </c>
      <c r="C12" s="199" t="s">
        <v>29</v>
      </c>
      <c r="D12" s="199" t="s">
        <v>34</v>
      </c>
      <c r="E12" s="199" t="s">
        <v>19</v>
      </c>
      <c r="F12" s="199">
        <v>21.957000000000001</v>
      </c>
      <c r="G12" s="199" t="s">
        <v>29</v>
      </c>
      <c r="H12" s="199" t="s">
        <v>29</v>
      </c>
      <c r="I12" s="73"/>
      <c r="J12" s="279"/>
      <c r="K12" s="279"/>
      <c r="L12" s="279"/>
      <c r="M12" s="279"/>
    </row>
    <row r="13" spans="1:13" s="112" customFormat="1" ht="16">
      <c r="A13" s="119"/>
      <c r="B13" s="113"/>
      <c r="C13" s="114"/>
      <c r="D13" s="114"/>
      <c r="E13" s="114"/>
      <c r="F13" s="115"/>
      <c r="G13" s="113"/>
      <c r="H13" s="116"/>
      <c r="I13" s="117"/>
      <c r="J13" s="283"/>
      <c r="K13" s="283"/>
      <c r="L13" s="283"/>
      <c r="M13" s="283"/>
    </row>
    <row r="14" spans="1:13" ht="16">
      <c r="A14" s="120" t="s">
        <v>36</v>
      </c>
      <c r="B14" s="58" t="s">
        <v>37</v>
      </c>
      <c r="C14" s="58" t="s">
        <v>38</v>
      </c>
      <c r="D14" s="58" t="s">
        <v>39</v>
      </c>
      <c r="E14" s="58" t="s">
        <v>17</v>
      </c>
      <c r="F14" s="66">
        <v>19.346</v>
      </c>
      <c r="G14" s="66">
        <v>0.94661643100000004</v>
      </c>
      <c r="H14" s="77">
        <v>1.2999999999999999E-2</v>
      </c>
      <c r="I14" s="55" t="s">
        <v>40</v>
      </c>
      <c r="J14" s="279"/>
      <c r="K14" s="279"/>
      <c r="L14" s="279"/>
      <c r="M14" s="279"/>
    </row>
    <row r="15" spans="1:13" ht="16">
      <c r="A15" s="120"/>
      <c r="B15" s="58"/>
      <c r="C15" s="61" t="s">
        <v>29</v>
      </c>
      <c r="D15" s="61" t="s">
        <v>39</v>
      </c>
      <c r="E15" s="61" t="s">
        <v>19</v>
      </c>
      <c r="F15" s="65">
        <v>20.437000000000001</v>
      </c>
      <c r="G15" s="65" t="s">
        <v>29</v>
      </c>
      <c r="H15" s="78" t="s">
        <v>29</v>
      </c>
      <c r="I15" s="73"/>
      <c r="J15" s="279"/>
      <c r="K15" s="279"/>
      <c r="L15" s="279"/>
      <c r="M15" s="279"/>
    </row>
    <row r="16" spans="1:13" ht="16">
      <c r="A16" s="120" t="s">
        <v>36</v>
      </c>
      <c r="B16" s="61" t="s">
        <v>41</v>
      </c>
      <c r="C16" s="61" t="s">
        <v>21</v>
      </c>
      <c r="D16" s="61" t="s">
        <v>42</v>
      </c>
      <c r="E16" s="61" t="s">
        <v>17</v>
      </c>
      <c r="F16" s="65">
        <v>18.812000000000001</v>
      </c>
      <c r="G16" s="65">
        <v>0.79181749300000004</v>
      </c>
      <c r="H16" s="79">
        <v>-0.28499999999999998</v>
      </c>
      <c r="I16" s="55" t="s">
        <v>40</v>
      </c>
      <c r="J16" s="66" t="s">
        <v>43</v>
      </c>
      <c r="K16" s="68" t="s">
        <v>36</v>
      </c>
      <c r="L16" s="86">
        <v>44753</v>
      </c>
      <c r="M16" s="87" t="s">
        <v>24</v>
      </c>
    </row>
    <row r="17" spans="1:13" ht="16">
      <c r="A17" s="120"/>
      <c r="B17" s="61"/>
      <c r="C17" s="61" t="s">
        <v>29</v>
      </c>
      <c r="D17" s="61" t="s">
        <v>42</v>
      </c>
      <c r="E17" s="61" t="s">
        <v>19</v>
      </c>
      <c r="F17" s="65">
        <v>23.757999999999999</v>
      </c>
      <c r="G17" s="65" t="s">
        <v>29</v>
      </c>
      <c r="H17" s="78" t="s">
        <v>29</v>
      </c>
      <c r="I17" s="73"/>
      <c r="J17" s="279"/>
      <c r="K17" s="279"/>
      <c r="L17" s="279"/>
      <c r="M17" s="279"/>
    </row>
    <row r="18" spans="1:13" ht="16">
      <c r="A18" s="120" t="s">
        <v>36</v>
      </c>
      <c r="B18" s="61" t="s">
        <v>44</v>
      </c>
      <c r="C18" s="61" t="s">
        <v>45</v>
      </c>
      <c r="D18" s="61" t="s">
        <v>16</v>
      </c>
      <c r="E18" s="61" t="s">
        <v>17</v>
      </c>
      <c r="F18" s="65">
        <v>18.423999999999999</v>
      </c>
      <c r="G18" s="65">
        <v>0.85111100799999995</v>
      </c>
      <c r="H18" s="79">
        <v>-0.17100000000000001</v>
      </c>
      <c r="I18" s="55" t="s">
        <v>40</v>
      </c>
      <c r="J18" s="279"/>
      <c r="K18" s="279"/>
      <c r="L18" s="279"/>
      <c r="M18" s="279"/>
    </row>
    <row r="19" spans="1:13" ht="16">
      <c r="A19" s="120"/>
      <c r="B19" s="61"/>
      <c r="C19" s="61" t="s">
        <v>29</v>
      </c>
      <c r="D19" s="61" t="s">
        <v>16</v>
      </c>
      <c r="E19" s="61" t="s">
        <v>19</v>
      </c>
      <c r="F19" s="65">
        <v>21.646999999999998</v>
      </c>
      <c r="G19" s="65" t="s">
        <v>29</v>
      </c>
      <c r="H19" s="78" t="s">
        <v>29</v>
      </c>
      <c r="I19" s="73"/>
      <c r="J19" s="141" t="s">
        <v>46</v>
      </c>
      <c r="K19" s="141" t="s">
        <v>36</v>
      </c>
      <c r="L19" s="281">
        <v>44859</v>
      </c>
      <c r="M19" s="284" t="s">
        <v>24</v>
      </c>
    </row>
    <row r="20" spans="1:13" ht="16"/>
    <row r="21" spans="1:13" ht="16"/>
    <row r="22" spans="1:13" s="122" customFormat="1" ht="16">
      <c r="F22" s="126"/>
      <c r="G22" s="126"/>
      <c r="H22" s="126"/>
      <c r="J22" s="286"/>
      <c r="K22" s="286"/>
      <c r="L22" s="286"/>
      <c r="M22" s="286"/>
    </row>
    <row r="23" spans="1:13" ht="16">
      <c r="A23" s="198" t="s">
        <v>47</v>
      </c>
      <c r="B23" s="199" t="s">
        <v>48</v>
      </c>
      <c r="C23" s="199" t="s">
        <v>15</v>
      </c>
      <c r="D23" s="199" t="s">
        <v>49</v>
      </c>
      <c r="E23" s="199" t="s">
        <v>17</v>
      </c>
      <c r="F23" s="199">
        <v>17.038</v>
      </c>
      <c r="G23" s="199">
        <v>0.82102929800000002</v>
      </c>
      <c r="H23" s="200">
        <v>-0.22900000000000001</v>
      </c>
      <c r="I23" s="55" t="s">
        <v>50</v>
      </c>
    </row>
    <row r="24" spans="1:13" ht="16">
      <c r="A24" s="198" t="s">
        <v>29</v>
      </c>
      <c r="B24" s="199" t="s">
        <v>29</v>
      </c>
      <c r="C24" s="199" t="s">
        <v>29</v>
      </c>
      <c r="D24" s="199" t="s">
        <v>49</v>
      </c>
      <c r="E24" s="199" t="s">
        <v>19</v>
      </c>
      <c r="F24" s="199">
        <v>20.751999999999999</v>
      </c>
      <c r="G24" s="199" t="s">
        <v>29</v>
      </c>
      <c r="H24" s="201" t="s">
        <v>29</v>
      </c>
    </row>
    <row r="25" spans="1:13" ht="16">
      <c r="A25" s="198" t="s">
        <v>47</v>
      </c>
      <c r="B25" s="199" t="s">
        <v>51</v>
      </c>
      <c r="C25" s="199" t="s">
        <v>30</v>
      </c>
      <c r="D25" s="199" t="s">
        <v>52</v>
      </c>
      <c r="E25" s="199" t="s">
        <v>17</v>
      </c>
      <c r="F25" s="199">
        <v>16.707000000000001</v>
      </c>
      <c r="G25" s="199">
        <v>0.80341428199999998</v>
      </c>
      <c r="H25" s="200">
        <v>-0.26300000000000001</v>
      </c>
      <c r="I25" s="55" t="s">
        <v>50</v>
      </c>
      <c r="J25" s="141" t="s">
        <v>53</v>
      </c>
      <c r="K25" s="141" t="s">
        <v>47</v>
      </c>
      <c r="L25" s="281">
        <v>44825</v>
      </c>
      <c r="M25" s="143" t="s">
        <v>24</v>
      </c>
    </row>
    <row r="26" spans="1:13" ht="16">
      <c r="A26" s="198" t="s">
        <v>29</v>
      </c>
      <c r="B26" s="199" t="s">
        <v>29</v>
      </c>
      <c r="C26" s="199" t="s">
        <v>29</v>
      </c>
      <c r="D26" s="199" t="s">
        <v>52</v>
      </c>
      <c r="E26" s="199" t="s">
        <v>19</v>
      </c>
      <c r="F26" s="199">
        <v>20.795000000000002</v>
      </c>
      <c r="G26" s="199" t="s">
        <v>29</v>
      </c>
      <c r="H26" s="201" t="s">
        <v>29</v>
      </c>
    </row>
    <row r="27" spans="1:13" ht="16">
      <c r="A27" s="198" t="s">
        <v>47</v>
      </c>
      <c r="B27" s="199" t="s">
        <v>54</v>
      </c>
      <c r="C27" s="199" t="s">
        <v>33</v>
      </c>
      <c r="D27" s="199" t="s">
        <v>55</v>
      </c>
      <c r="E27" s="199" t="s">
        <v>17</v>
      </c>
      <c r="F27" s="199">
        <v>17.231999999999999</v>
      </c>
      <c r="G27" s="199">
        <v>0.82623705400000003</v>
      </c>
      <c r="H27" s="200">
        <v>-0.219</v>
      </c>
      <c r="I27" s="55" t="s">
        <v>50</v>
      </c>
      <c r="J27" s="280" t="s">
        <v>56</v>
      </c>
      <c r="K27" s="287" t="s">
        <v>47</v>
      </c>
      <c r="L27" s="281">
        <v>44859</v>
      </c>
      <c r="M27" s="222" t="s">
        <v>24</v>
      </c>
    </row>
    <row r="28" spans="1:13" ht="16">
      <c r="A28" s="198" t="s">
        <v>29</v>
      </c>
      <c r="B28" s="199" t="s">
        <v>29</v>
      </c>
      <c r="C28" s="199" t="s">
        <v>29</v>
      </c>
      <c r="D28" s="199" t="s">
        <v>55</v>
      </c>
      <c r="E28" s="199" t="s">
        <v>19</v>
      </c>
      <c r="F28" s="199">
        <v>20.856000000000002</v>
      </c>
      <c r="G28" s="199" t="s">
        <v>29</v>
      </c>
      <c r="H28" s="201" t="s">
        <v>29</v>
      </c>
      <c r="J28" s="280" t="s">
        <v>57</v>
      </c>
      <c r="K28" s="68" t="s">
        <v>47</v>
      </c>
      <c r="L28" s="281">
        <v>44859</v>
      </c>
      <c r="M28" s="222" t="s">
        <v>24</v>
      </c>
    </row>
    <row r="29" spans="1:13" ht="16">
      <c r="A29" s="198" t="s">
        <v>47</v>
      </c>
      <c r="B29" s="199" t="s">
        <v>58</v>
      </c>
      <c r="C29" s="199" t="s">
        <v>15</v>
      </c>
      <c r="D29" s="199" t="s">
        <v>59</v>
      </c>
      <c r="E29" s="199" t="s">
        <v>17</v>
      </c>
      <c r="F29" s="199">
        <v>18.02</v>
      </c>
      <c r="G29" s="199">
        <v>0.87365461099999997</v>
      </c>
      <c r="H29" s="231">
        <v>-0.128</v>
      </c>
      <c r="I29" s="72" t="s">
        <v>60</v>
      </c>
    </row>
    <row r="30" spans="1:13" ht="16">
      <c r="A30" s="198" t="s">
        <v>29</v>
      </c>
      <c r="B30" s="199" t="s">
        <v>29</v>
      </c>
      <c r="C30" s="199" t="s">
        <v>29</v>
      </c>
      <c r="D30" s="199" t="s">
        <v>59</v>
      </c>
      <c r="E30" s="199" t="s">
        <v>19</v>
      </c>
      <c r="F30" s="199">
        <v>20.626000000000001</v>
      </c>
      <c r="G30" s="199" t="s">
        <v>29</v>
      </c>
      <c r="H30" s="199" t="s">
        <v>29</v>
      </c>
    </row>
    <row r="31" spans="1:13" ht="16">
      <c r="A31" s="3" t="s">
        <v>61</v>
      </c>
      <c r="B31" s="3" t="s">
        <v>62</v>
      </c>
      <c r="C31" s="3" t="s">
        <v>21</v>
      </c>
      <c r="D31" s="3" t="s">
        <v>63</v>
      </c>
      <c r="E31" s="3" t="s">
        <v>17</v>
      </c>
      <c r="F31" s="3">
        <v>17.021999999999998</v>
      </c>
      <c r="G31" s="3">
        <f t="shared" ref="G31" si="2">F31/F32</f>
        <v>0.81293280481398345</v>
      </c>
      <c r="H31" s="308">
        <f t="shared" ref="H31" si="3">(G31-0.94)/0.52</f>
        <v>-0.24435999074233941</v>
      </c>
      <c r="I31" s="55" t="s">
        <v>64</v>
      </c>
    </row>
    <row r="32" spans="1:13" ht="15.75" customHeight="1">
      <c r="A32" s="3"/>
      <c r="B32" s="3"/>
      <c r="C32" s="3"/>
      <c r="D32" s="3" t="s">
        <v>63</v>
      </c>
      <c r="E32" s="3" t="s">
        <v>19</v>
      </c>
      <c r="F32" s="3">
        <v>20.939</v>
      </c>
      <c r="G32" s="3"/>
      <c r="H32" s="308"/>
    </row>
    <row r="33" spans="1:13" ht="16">
      <c r="A33" s="3" t="s">
        <v>61</v>
      </c>
      <c r="B33" s="3" t="s">
        <v>54</v>
      </c>
      <c r="C33" s="3" t="s">
        <v>45</v>
      </c>
      <c r="D33" s="3" t="s">
        <v>65</v>
      </c>
      <c r="E33" s="3" t="s">
        <v>17</v>
      </c>
      <c r="F33" s="3">
        <v>16.93</v>
      </c>
      <c r="G33" s="3">
        <f t="shared" ref="G33" si="4">F33/F34</f>
        <v>0.83239097300752252</v>
      </c>
      <c r="H33" s="308">
        <f t="shared" ref="H33" si="5">(G33-0.94)/0.52</f>
        <v>-0.20694043652399505</v>
      </c>
      <c r="I33" s="55" t="s">
        <v>64</v>
      </c>
      <c r="J33" s="280" t="s">
        <v>53</v>
      </c>
      <c r="K33" s="287" t="s">
        <v>61</v>
      </c>
      <c r="L33" s="281">
        <v>44839</v>
      </c>
      <c r="M33" s="222" t="s">
        <v>24</v>
      </c>
    </row>
    <row r="34" spans="1:13" ht="15.75" customHeight="1">
      <c r="A34" s="3"/>
      <c r="B34" s="3"/>
      <c r="C34" s="3"/>
      <c r="D34" s="3" t="s">
        <v>65</v>
      </c>
      <c r="E34" s="3" t="s">
        <v>19</v>
      </c>
      <c r="F34" s="3">
        <v>20.338999999999999</v>
      </c>
      <c r="G34" s="3"/>
      <c r="H34" s="308"/>
    </row>
    <row r="35" spans="1:13" ht="15.75" customHeight="1">
      <c r="J35" s="287" t="s">
        <v>56</v>
      </c>
      <c r="K35" s="279" t="s">
        <v>61</v>
      </c>
      <c r="L35" s="281">
        <v>44859</v>
      </c>
      <c r="M35" s="143" t="s">
        <v>24</v>
      </c>
    </row>
    <row r="37" spans="1:13" s="122" customFormat="1" ht="16">
      <c r="F37" s="126"/>
      <c r="G37" s="126"/>
      <c r="H37" s="126"/>
      <c r="J37" s="286"/>
      <c r="K37" s="286"/>
      <c r="L37" s="286"/>
      <c r="M37" s="286"/>
    </row>
    <row r="38" spans="1:13" ht="17">
      <c r="A38" s="216" t="s">
        <v>66</v>
      </c>
      <c r="B38" s="217" t="s">
        <v>67</v>
      </c>
      <c r="C38" s="217" t="s">
        <v>15</v>
      </c>
      <c r="D38" s="193" t="s">
        <v>68</v>
      </c>
      <c r="E38" s="193" t="s">
        <v>17</v>
      </c>
      <c r="F38" s="193">
        <v>16.847000000000001</v>
      </c>
      <c r="G38" s="193">
        <v>0.712768658</v>
      </c>
      <c r="H38" s="218">
        <v>-0.437</v>
      </c>
      <c r="I38" s="55" t="s">
        <v>69</v>
      </c>
    </row>
    <row r="39" spans="1:13" ht="17">
      <c r="A39" s="192" t="s">
        <v>29</v>
      </c>
      <c r="B39" s="193" t="s">
        <v>29</v>
      </c>
      <c r="C39" s="193" t="s">
        <v>29</v>
      </c>
      <c r="D39" s="193" t="s">
        <v>68</v>
      </c>
      <c r="E39" s="193" t="s">
        <v>19</v>
      </c>
      <c r="F39" s="193">
        <v>23.635999999999999</v>
      </c>
      <c r="G39" s="193" t="s">
        <v>29</v>
      </c>
      <c r="H39" s="219" t="s">
        <v>29</v>
      </c>
    </row>
    <row r="40" spans="1:13" ht="17">
      <c r="A40" s="216" t="s">
        <v>66</v>
      </c>
      <c r="B40" s="217" t="s">
        <v>70</v>
      </c>
      <c r="C40" s="217" t="s">
        <v>30</v>
      </c>
      <c r="D40" s="193" t="s">
        <v>71</v>
      </c>
      <c r="E40" s="193" t="s">
        <v>17</v>
      </c>
      <c r="F40" s="193">
        <v>16.625</v>
      </c>
      <c r="G40" s="193">
        <v>0.67699637599999996</v>
      </c>
      <c r="H40" s="218">
        <v>-0.50600000000000001</v>
      </c>
      <c r="I40" s="55" t="s">
        <v>69</v>
      </c>
      <c r="J40" s="279" t="s">
        <v>72</v>
      </c>
      <c r="K40" s="279" t="s">
        <v>66</v>
      </c>
      <c r="L40" s="281">
        <v>44839</v>
      </c>
      <c r="M40" s="284" t="s">
        <v>24</v>
      </c>
    </row>
    <row r="41" spans="1:13" ht="17">
      <c r="A41" s="192" t="s">
        <v>29</v>
      </c>
      <c r="B41" s="193" t="s">
        <v>29</v>
      </c>
      <c r="C41" s="193" t="s">
        <v>29</v>
      </c>
      <c r="D41" s="193" t="s">
        <v>71</v>
      </c>
      <c r="E41" s="193" t="s">
        <v>19</v>
      </c>
      <c r="F41" s="193">
        <v>24.556999999999999</v>
      </c>
      <c r="G41" s="193" t="s">
        <v>29</v>
      </c>
      <c r="H41" s="219" t="s">
        <v>29</v>
      </c>
    </row>
    <row r="42" spans="1:13" ht="17">
      <c r="A42" s="216" t="s">
        <v>66</v>
      </c>
      <c r="B42" s="217" t="s">
        <v>73</v>
      </c>
      <c r="C42" s="217" t="s">
        <v>33</v>
      </c>
      <c r="D42" s="193" t="s">
        <v>74</v>
      </c>
      <c r="E42" s="193" t="s">
        <v>17</v>
      </c>
      <c r="F42" s="193">
        <v>16.542999999999999</v>
      </c>
      <c r="G42" s="193">
        <v>0.64889777999999998</v>
      </c>
      <c r="H42" s="218">
        <v>-0.56000000000000005</v>
      </c>
      <c r="I42" s="55" t="s">
        <v>69</v>
      </c>
      <c r="J42" s="280" t="s">
        <v>75</v>
      </c>
      <c r="K42" s="287" t="s">
        <v>66</v>
      </c>
      <c r="L42" s="279" t="s">
        <v>76</v>
      </c>
      <c r="M42" s="284" t="s">
        <v>24</v>
      </c>
    </row>
    <row r="43" spans="1:13" ht="17">
      <c r="A43" s="192" t="s">
        <v>29</v>
      </c>
      <c r="B43" s="193" t="s">
        <v>29</v>
      </c>
      <c r="C43" s="193" t="s">
        <v>29</v>
      </c>
      <c r="D43" s="193" t="s">
        <v>74</v>
      </c>
      <c r="E43" s="193" t="s">
        <v>19</v>
      </c>
      <c r="F43" s="193">
        <v>25.494</v>
      </c>
      <c r="G43" s="193" t="s">
        <v>29</v>
      </c>
      <c r="H43" s="219" t="s">
        <v>29</v>
      </c>
    </row>
    <row r="44" spans="1:13" ht="16">
      <c r="A44" s="68" t="s">
        <v>66</v>
      </c>
      <c r="B44" s="66" t="s">
        <v>77</v>
      </c>
      <c r="C44" s="66" t="s">
        <v>38</v>
      </c>
      <c r="D44" s="66" t="s">
        <v>59</v>
      </c>
      <c r="E44" s="66" t="s">
        <v>17</v>
      </c>
      <c r="F44" s="66">
        <v>16.178999999999998</v>
      </c>
      <c r="G44" s="66">
        <v>0.70435350500000005</v>
      </c>
      <c r="H44" s="247">
        <v>-0.45300000000000001</v>
      </c>
      <c r="I44" s="55" t="s">
        <v>78</v>
      </c>
    </row>
    <row r="45" spans="1:13" ht="16">
      <c r="A45" s="70" t="s">
        <v>29</v>
      </c>
      <c r="B45" s="65" t="s">
        <v>29</v>
      </c>
      <c r="C45" s="65" t="s">
        <v>29</v>
      </c>
      <c r="D45" s="65" t="s">
        <v>59</v>
      </c>
      <c r="E45" s="65" t="s">
        <v>19</v>
      </c>
      <c r="F45" s="65">
        <v>22.97</v>
      </c>
      <c r="G45" s="65" t="s">
        <v>29</v>
      </c>
      <c r="H45" s="65" t="s">
        <v>29</v>
      </c>
    </row>
    <row r="46" spans="1:13" s="122" customFormat="1" ht="16">
      <c r="F46" s="126"/>
      <c r="G46" s="126"/>
      <c r="H46" s="126"/>
      <c r="J46" s="286"/>
      <c r="K46" s="286"/>
      <c r="L46" s="286"/>
      <c r="M46" s="286"/>
    </row>
    <row r="47" spans="1:13" ht="17">
      <c r="A47" s="216" t="s">
        <v>79</v>
      </c>
      <c r="B47" s="217" t="s">
        <v>80</v>
      </c>
      <c r="C47" s="217" t="s">
        <v>15</v>
      </c>
      <c r="D47" s="193" t="s">
        <v>81</v>
      </c>
      <c r="E47" s="193" t="s">
        <v>17</v>
      </c>
      <c r="F47" s="193">
        <v>16.702000000000002</v>
      </c>
      <c r="G47" s="193">
        <v>0.71099570000000001</v>
      </c>
      <c r="H47" s="218">
        <v>-0.44</v>
      </c>
      <c r="I47" s="55" t="s">
        <v>69</v>
      </c>
    </row>
    <row r="48" spans="1:13" ht="17">
      <c r="A48" s="192" t="s">
        <v>29</v>
      </c>
      <c r="B48" s="193" t="s">
        <v>29</v>
      </c>
      <c r="C48" s="193" t="s">
        <v>29</v>
      </c>
      <c r="D48" s="193" t="s">
        <v>81</v>
      </c>
      <c r="E48" s="193" t="s">
        <v>19</v>
      </c>
      <c r="F48" s="193">
        <v>23.491</v>
      </c>
      <c r="G48" s="193" t="s">
        <v>29</v>
      </c>
      <c r="H48" s="219" t="s">
        <v>29</v>
      </c>
    </row>
    <row r="49" spans="1:13" ht="33">
      <c r="A49" s="216" t="s">
        <v>79</v>
      </c>
      <c r="B49" s="217" t="s">
        <v>82</v>
      </c>
      <c r="C49" s="217" t="s">
        <v>30</v>
      </c>
      <c r="D49" s="193" t="s">
        <v>83</v>
      </c>
      <c r="E49" s="193" t="s">
        <v>17</v>
      </c>
      <c r="F49" s="193">
        <v>15.122999999999999</v>
      </c>
      <c r="G49" s="193">
        <v>0.65134809199999999</v>
      </c>
      <c r="H49" s="218">
        <v>-0.55500000000000005</v>
      </c>
      <c r="I49" s="55" t="s">
        <v>69</v>
      </c>
      <c r="J49" s="279" t="s">
        <v>84</v>
      </c>
      <c r="K49" s="279" t="s">
        <v>79</v>
      </c>
      <c r="L49" s="281">
        <v>44839</v>
      </c>
      <c r="M49" s="282" t="s">
        <v>85</v>
      </c>
    </row>
    <row r="50" spans="1:13" ht="17">
      <c r="A50" s="192" t="s">
        <v>29</v>
      </c>
      <c r="B50" s="193" t="s">
        <v>29</v>
      </c>
      <c r="C50" s="193" t="s">
        <v>29</v>
      </c>
      <c r="D50" s="193" t="s">
        <v>83</v>
      </c>
      <c r="E50" s="193" t="s">
        <v>19</v>
      </c>
      <c r="F50" s="193">
        <v>23.218</v>
      </c>
      <c r="G50" s="193" t="s">
        <v>29</v>
      </c>
      <c r="H50" s="219" t="s">
        <v>29</v>
      </c>
    </row>
    <row r="51" spans="1:13" ht="32">
      <c r="A51" s="259" t="s">
        <v>79</v>
      </c>
      <c r="B51" s="260" t="s">
        <v>86</v>
      </c>
      <c r="C51" s="261" t="s">
        <v>33</v>
      </c>
      <c r="D51" s="262" t="s">
        <v>27</v>
      </c>
      <c r="E51" s="262" t="s">
        <v>17</v>
      </c>
      <c r="F51" s="262">
        <v>17.056000000000001</v>
      </c>
      <c r="G51" s="262">
        <v>0.74211373599999997</v>
      </c>
      <c r="H51" s="263">
        <v>-0.38100000000000001</v>
      </c>
      <c r="I51" s="55" t="s">
        <v>69</v>
      </c>
      <c r="J51" s="279" t="s">
        <v>87</v>
      </c>
      <c r="K51" s="288" t="s">
        <v>79</v>
      </c>
      <c r="L51" s="281">
        <v>44859</v>
      </c>
      <c r="M51" s="289" t="s">
        <v>85</v>
      </c>
    </row>
    <row r="52" spans="1:13" ht="15.75" customHeight="1">
      <c r="A52" s="264" t="s">
        <v>29</v>
      </c>
      <c r="B52" s="262" t="s">
        <v>29</v>
      </c>
      <c r="C52" s="262" t="s">
        <v>29</v>
      </c>
      <c r="D52" s="262" t="s">
        <v>27</v>
      </c>
      <c r="E52" s="262" t="s">
        <v>19</v>
      </c>
      <c r="F52" s="262">
        <v>22.983000000000001</v>
      </c>
      <c r="G52" s="262" t="s">
        <v>29</v>
      </c>
      <c r="H52" s="265" t="s">
        <v>29</v>
      </c>
    </row>
    <row r="53" spans="1:13" ht="15.75" customHeight="1">
      <c r="A53" s="68" t="s">
        <v>79</v>
      </c>
      <c r="B53" s="66" t="s">
        <v>88</v>
      </c>
      <c r="C53" s="66" t="s">
        <v>38</v>
      </c>
      <c r="D53" s="66" t="s">
        <v>89</v>
      </c>
      <c r="E53" s="66" t="s">
        <v>17</v>
      </c>
      <c r="F53" s="66">
        <v>16.346</v>
      </c>
      <c r="G53" s="66">
        <v>0.72629520999999997</v>
      </c>
      <c r="H53" s="247">
        <v>-0.41099999999999998</v>
      </c>
      <c r="I53" s="72" t="s">
        <v>90</v>
      </c>
    </row>
    <row r="54" spans="1:13" ht="15.75" customHeight="1">
      <c r="A54" s="70" t="s">
        <v>29</v>
      </c>
      <c r="B54" s="275" t="s">
        <v>91</v>
      </c>
      <c r="C54" s="65" t="s">
        <v>29</v>
      </c>
      <c r="D54" s="65" t="s">
        <v>89</v>
      </c>
      <c r="E54" s="65" t="s">
        <v>19</v>
      </c>
      <c r="F54" s="65">
        <v>22.506</v>
      </c>
      <c r="G54" s="65" t="s">
        <v>29</v>
      </c>
      <c r="H54" s="65" t="s">
        <v>29</v>
      </c>
    </row>
    <row r="59" spans="1:13" s="122" customFormat="1" ht="15.75" customHeight="1">
      <c r="F59" s="126"/>
      <c r="G59" s="126"/>
      <c r="H59" s="126"/>
      <c r="J59" s="286"/>
      <c r="K59" s="286"/>
      <c r="L59" s="286"/>
      <c r="M59" s="286"/>
    </row>
    <row r="60" spans="1:13" ht="15.75" customHeight="1">
      <c r="A60" s="68" t="s">
        <v>92</v>
      </c>
      <c r="B60" s="66" t="s">
        <v>93</v>
      </c>
      <c r="C60" s="66" t="s">
        <v>38</v>
      </c>
      <c r="D60" s="66" t="s">
        <v>27</v>
      </c>
      <c r="E60" s="66" t="s">
        <v>17</v>
      </c>
      <c r="F60" s="66">
        <v>15.882</v>
      </c>
      <c r="G60" s="66">
        <v>0.76943946500000004</v>
      </c>
      <c r="H60" s="247">
        <v>-0.32800000000000001</v>
      </c>
      <c r="I60" s="55" t="s">
        <v>78</v>
      </c>
    </row>
    <row r="61" spans="1:13" ht="15.75" customHeight="1">
      <c r="A61" s="70" t="s">
        <v>29</v>
      </c>
      <c r="B61" s="65" t="s">
        <v>29</v>
      </c>
      <c r="C61" s="65" t="s">
        <v>29</v>
      </c>
      <c r="D61" s="65" t="s">
        <v>27</v>
      </c>
      <c r="E61" s="65" t="s">
        <v>19</v>
      </c>
      <c r="F61" s="65">
        <v>20.640999999999998</v>
      </c>
      <c r="G61" s="65" t="s">
        <v>29</v>
      </c>
      <c r="H61" s="65" t="s">
        <v>29</v>
      </c>
    </row>
    <row r="62" spans="1:13" ht="15.75" customHeight="1">
      <c r="A62" s="70" t="s">
        <v>92</v>
      </c>
      <c r="B62" s="65" t="s">
        <v>94</v>
      </c>
      <c r="C62" s="65" t="s">
        <v>21</v>
      </c>
      <c r="D62" s="65" t="s">
        <v>31</v>
      </c>
      <c r="E62" s="65" t="s">
        <v>17</v>
      </c>
      <c r="F62" s="65">
        <v>15.032</v>
      </c>
      <c r="G62" s="65">
        <v>0.63348645100000001</v>
      </c>
      <c r="H62" s="247">
        <v>-0.58899999999999997</v>
      </c>
      <c r="I62" s="55" t="s">
        <v>78</v>
      </c>
      <c r="J62" s="279" t="s">
        <v>95</v>
      </c>
      <c r="K62" s="279" t="s">
        <v>92</v>
      </c>
      <c r="L62" s="281">
        <v>44907</v>
      </c>
      <c r="M62" s="284" t="s">
        <v>24</v>
      </c>
    </row>
    <row r="63" spans="1:13" ht="15.75" customHeight="1">
      <c r="A63" s="70" t="s">
        <v>29</v>
      </c>
      <c r="B63" s="65" t="s">
        <v>29</v>
      </c>
      <c r="C63" s="65" t="s">
        <v>29</v>
      </c>
      <c r="D63" s="65" t="s">
        <v>31</v>
      </c>
      <c r="E63" s="65" t="s">
        <v>19</v>
      </c>
      <c r="F63" s="65">
        <v>23.728999999999999</v>
      </c>
      <c r="G63" s="65" t="s">
        <v>29</v>
      </c>
      <c r="H63" s="65" t="s">
        <v>29</v>
      </c>
    </row>
    <row r="64" spans="1:13" ht="15.75" customHeight="1">
      <c r="A64" s="272" t="s">
        <v>92</v>
      </c>
      <c r="B64" s="273" t="s">
        <v>96</v>
      </c>
      <c r="C64" s="273" t="s">
        <v>45</v>
      </c>
      <c r="D64" s="273" t="s">
        <v>97</v>
      </c>
      <c r="E64" s="66" t="s">
        <v>17</v>
      </c>
      <c r="F64" s="66">
        <v>16.172000000000001</v>
      </c>
      <c r="G64" s="66">
        <v>0.56024388599999997</v>
      </c>
      <c r="H64" s="247">
        <v>-0.73</v>
      </c>
      <c r="I64" s="309" t="s">
        <v>78</v>
      </c>
      <c r="J64" s="279" t="s">
        <v>98</v>
      </c>
      <c r="K64" s="279" t="s">
        <v>92</v>
      </c>
      <c r="L64" s="281">
        <v>44950</v>
      </c>
      <c r="M64" s="284" t="s">
        <v>24</v>
      </c>
    </row>
    <row r="65" spans="1:13" ht="15.75" customHeight="1">
      <c r="A65" s="70" t="s">
        <v>29</v>
      </c>
      <c r="B65" s="65" t="s">
        <v>29</v>
      </c>
      <c r="C65" s="65" t="s">
        <v>29</v>
      </c>
      <c r="D65" s="266" t="s">
        <v>97</v>
      </c>
      <c r="E65" s="65" t="s">
        <v>19</v>
      </c>
      <c r="F65" s="65">
        <v>28.866</v>
      </c>
      <c r="G65" s="65" t="s">
        <v>29</v>
      </c>
      <c r="H65" s="65" t="s">
        <v>29</v>
      </c>
    </row>
    <row r="66" spans="1:13" ht="15.75" customHeight="1">
      <c r="A66" s="3" t="s">
        <v>92</v>
      </c>
      <c r="B66" s="3" t="s">
        <v>99</v>
      </c>
      <c r="C66" s="3" t="s">
        <v>38</v>
      </c>
      <c r="D66" s="3" t="s">
        <v>100</v>
      </c>
      <c r="E66" s="3" t="s">
        <v>17</v>
      </c>
      <c r="F66" s="3">
        <v>15.923999999999999</v>
      </c>
      <c r="G66" s="3">
        <f t="shared" ref="G66" si="6">F66/F67</f>
        <v>0.71920870782710811</v>
      </c>
      <c r="H66" s="308">
        <f t="shared" ref="H66" si="7">(G66-0.94)/0.52</f>
        <v>-0.42459863879402276</v>
      </c>
      <c r="I66" s="55" t="s">
        <v>101</v>
      </c>
    </row>
    <row r="67" spans="1:13" ht="15.75" customHeight="1">
      <c r="A67" s="3"/>
      <c r="B67" s="3"/>
      <c r="C67" s="3"/>
      <c r="D67" s="3" t="s">
        <v>100</v>
      </c>
      <c r="E67" s="3" t="s">
        <v>19</v>
      </c>
      <c r="F67" s="3">
        <v>22.140999999999998</v>
      </c>
      <c r="G67" s="3"/>
      <c r="H67" s="308"/>
    </row>
    <row r="68" spans="1:13" s="122" customFormat="1" ht="15.75" customHeight="1">
      <c r="F68" s="126"/>
      <c r="G68" s="126"/>
      <c r="H68" s="126"/>
      <c r="J68" s="286"/>
      <c r="K68" s="286"/>
      <c r="L68" s="286"/>
      <c r="M68" s="286"/>
    </row>
    <row r="69" spans="1:13" ht="15.75" customHeight="1">
      <c r="A69" s="68" t="s">
        <v>102</v>
      </c>
      <c r="B69" s="66" t="s">
        <v>103</v>
      </c>
      <c r="C69" s="66" t="s">
        <v>38</v>
      </c>
      <c r="D69" s="66" t="s">
        <v>34</v>
      </c>
      <c r="E69" s="66" t="s">
        <v>17</v>
      </c>
      <c r="F69" s="66">
        <v>15.776999999999999</v>
      </c>
      <c r="G69" s="66">
        <v>0.72242318800000005</v>
      </c>
      <c r="H69" s="247">
        <v>-0.41799999999999998</v>
      </c>
      <c r="I69" s="55" t="s">
        <v>78</v>
      </c>
    </row>
    <row r="70" spans="1:13" ht="15.75" customHeight="1">
      <c r="A70" s="70" t="s">
        <v>29</v>
      </c>
      <c r="B70" s="65" t="s">
        <v>29</v>
      </c>
      <c r="C70" s="65" t="s">
        <v>29</v>
      </c>
      <c r="D70" s="65" t="s">
        <v>34</v>
      </c>
      <c r="E70" s="65" t="s">
        <v>19</v>
      </c>
      <c r="F70" s="65">
        <v>21.838999999999999</v>
      </c>
      <c r="G70" s="65" t="s">
        <v>29</v>
      </c>
      <c r="H70" s="65" t="s">
        <v>29</v>
      </c>
    </row>
    <row r="71" spans="1:13" ht="15.75" customHeight="1">
      <c r="A71" s="70" t="s">
        <v>102</v>
      </c>
      <c r="B71" s="65" t="s">
        <v>104</v>
      </c>
      <c r="C71" s="65" t="s">
        <v>21</v>
      </c>
      <c r="D71" s="65" t="s">
        <v>105</v>
      </c>
      <c r="E71" s="65" t="s">
        <v>17</v>
      </c>
      <c r="F71" s="65">
        <v>15.577</v>
      </c>
      <c r="G71" s="65">
        <v>0.61062328499999996</v>
      </c>
      <c r="H71" s="247">
        <v>-0.63300000000000001</v>
      </c>
      <c r="I71" s="55" t="s">
        <v>78</v>
      </c>
      <c r="J71" s="290" t="s">
        <v>106</v>
      </c>
      <c r="K71" s="279" t="s">
        <v>102</v>
      </c>
      <c r="L71" s="281">
        <v>44936</v>
      </c>
      <c r="M71" s="284" t="s">
        <v>24</v>
      </c>
    </row>
    <row r="72" spans="1:13" ht="15.75" customHeight="1">
      <c r="A72" s="70" t="s">
        <v>29</v>
      </c>
      <c r="B72" s="65" t="s">
        <v>29</v>
      </c>
      <c r="C72" s="65" t="s">
        <v>29</v>
      </c>
      <c r="D72" s="65" t="s">
        <v>105</v>
      </c>
      <c r="E72" s="65" t="s">
        <v>19</v>
      </c>
      <c r="F72" s="65">
        <v>25.51</v>
      </c>
      <c r="G72" s="65" t="s">
        <v>29</v>
      </c>
      <c r="H72" s="65" t="s">
        <v>29</v>
      </c>
    </row>
    <row r="73" spans="1:13" ht="15.75" customHeight="1">
      <c r="A73" s="68" t="s">
        <v>102</v>
      </c>
      <c r="B73" s="66" t="s">
        <v>107</v>
      </c>
      <c r="C73" s="66" t="s">
        <v>45</v>
      </c>
      <c r="D73" s="66" t="s">
        <v>108</v>
      </c>
      <c r="E73" s="66" t="s">
        <v>17</v>
      </c>
      <c r="F73" s="66">
        <v>16.241</v>
      </c>
      <c r="G73" s="66">
        <v>0.61463063900000003</v>
      </c>
      <c r="H73" s="247">
        <v>-0.626</v>
      </c>
      <c r="I73" s="72" t="s">
        <v>90</v>
      </c>
      <c r="J73" s="290" t="s">
        <v>109</v>
      </c>
      <c r="K73" s="279" t="s">
        <v>102</v>
      </c>
      <c r="L73" s="281">
        <v>45020</v>
      </c>
      <c r="M73" s="284" t="s">
        <v>24</v>
      </c>
    </row>
    <row r="74" spans="1:13" ht="15.75" customHeight="1">
      <c r="A74" s="70" t="s">
        <v>29</v>
      </c>
      <c r="B74" s="65" t="s">
        <v>29</v>
      </c>
      <c r="C74" s="65" t="s">
        <v>29</v>
      </c>
      <c r="D74" s="65" t="s">
        <v>108</v>
      </c>
      <c r="E74" s="65" t="s">
        <v>19</v>
      </c>
      <c r="F74" s="65">
        <v>26.423999999999999</v>
      </c>
      <c r="G74" s="65" t="s">
        <v>29</v>
      </c>
      <c r="H74" s="65" t="s">
        <v>29</v>
      </c>
    </row>
    <row r="82" spans="1:13" s="122" customFormat="1" ht="15.75" customHeight="1">
      <c r="F82" s="126"/>
      <c r="G82" s="126"/>
      <c r="H82" s="126"/>
      <c r="J82" s="286"/>
      <c r="K82" s="286"/>
      <c r="L82" s="286"/>
      <c r="M82" s="286"/>
    </row>
    <row r="83" spans="1:13" ht="15.75" customHeight="1">
      <c r="A83" s="68" t="s">
        <v>110</v>
      </c>
      <c r="B83" s="66" t="s">
        <v>111</v>
      </c>
      <c r="C83" s="66" t="s">
        <v>38</v>
      </c>
      <c r="D83" s="66" t="s">
        <v>112</v>
      </c>
      <c r="E83" s="66" t="s">
        <v>17</v>
      </c>
      <c r="F83" s="66">
        <v>16.373000000000001</v>
      </c>
      <c r="G83" s="66">
        <v>0.96898857800000004</v>
      </c>
      <c r="H83" s="249">
        <v>5.6000000000000001E-2</v>
      </c>
      <c r="I83" s="72" t="s">
        <v>90</v>
      </c>
    </row>
    <row r="84" spans="1:13" ht="15.75" customHeight="1">
      <c r="A84" s="70" t="s">
        <v>29</v>
      </c>
      <c r="B84" s="65" t="s">
        <v>29</v>
      </c>
      <c r="C84" s="65" t="s">
        <v>29</v>
      </c>
      <c r="D84" s="65" t="s">
        <v>112</v>
      </c>
      <c r="E84" s="65" t="s">
        <v>19</v>
      </c>
      <c r="F84" s="65">
        <v>16.896999999999998</v>
      </c>
      <c r="G84" s="65" t="s">
        <v>29</v>
      </c>
      <c r="H84" s="65" t="s">
        <v>29</v>
      </c>
    </row>
    <row r="85" spans="1:13" ht="15.75" customHeight="1">
      <c r="A85" s="70" t="s">
        <v>110</v>
      </c>
      <c r="B85" s="65" t="s">
        <v>113</v>
      </c>
      <c r="C85" s="65" t="s">
        <v>21</v>
      </c>
      <c r="D85" s="65" t="s">
        <v>114</v>
      </c>
      <c r="E85" s="65" t="s">
        <v>17</v>
      </c>
      <c r="F85" s="65">
        <v>16.526</v>
      </c>
      <c r="G85" s="65">
        <v>0.70726696899999997</v>
      </c>
      <c r="H85" s="247">
        <v>-0.44800000000000001</v>
      </c>
      <c r="I85" s="72" t="s">
        <v>90</v>
      </c>
      <c r="J85" s="279" t="s">
        <v>115</v>
      </c>
      <c r="K85" s="279" t="s">
        <v>110</v>
      </c>
      <c r="L85" s="281">
        <v>44936</v>
      </c>
      <c r="M85" s="284" t="s">
        <v>24</v>
      </c>
    </row>
    <row r="86" spans="1:13" ht="15.75" customHeight="1">
      <c r="A86" s="70" t="s">
        <v>29</v>
      </c>
      <c r="B86" s="65" t="s">
        <v>29</v>
      </c>
      <c r="C86" s="65" t="s">
        <v>29</v>
      </c>
      <c r="D86" s="65" t="s">
        <v>114</v>
      </c>
      <c r="E86" s="65" t="s">
        <v>19</v>
      </c>
      <c r="F86" s="65">
        <v>23.366</v>
      </c>
      <c r="G86" s="65" t="s">
        <v>29</v>
      </c>
      <c r="H86" s="65" t="s">
        <v>29</v>
      </c>
    </row>
    <row r="87" spans="1:13" ht="15.75" customHeight="1">
      <c r="A87" s="70" t="s">
        <v>110</v>
      </c>
      <c r="B87" s="65" t="s">
        <v>116</v>
      </c>
      <c r="C87" s="65" t="s">
        <v>45</v>
      </c>
      <c r="D87" s="65" t="s">
        <v>117</v>
      </c>
      <c r="E87" s="65" t="s">
        <v>17</v>
      </c>
      <c r="F87" s="65">
        <v>15.718999999999999</v>
      </c>
      <c r="G87" s="65">
        <v>0.68174524000000003</v>
      </c>
      <c r="H87" s="247">
        <v>-0.497</v>
      </c>
      <c r="I87" s="72" t="s">
        <v>90</v>
      </c>
      <c r="J87" s="280" t="s">
        <v>118</v>
      </c>
      <c r="K87" s="280" t="s">
        <v>110</v>
      </c>
      <c r="L87" s="281">
        <v>44936</v>
      </c>
      <c r="M87" s="284" t="s">
        <v>24</v>
      </c>
    </row>
    <row r="88" spans="1:13" ht="15.75" customHeight="1">
      <c r="A88" s="70" t="s">
        <v>29</v>
      </c>
      <c r="B88" s="65" t="s">
        <v>29</v>
      </c>
      <c r="C88" s="65" t="s">
        <v>29</v>
      </c>
      <c r="D88" s="65" t="s">
        <v>117</v>
      </c>
      <c r="E88" s="65" t="s">
        <v>19</v>
      </c>
      <c r="F88" s="65">
        <v>23.056999999999999</v>
      </c>
      <c r="G88" s="65" t="s">
        <v>29</v>
      </c>
      <c r="H88" s="65" t="s">
        <v>29</v>
      </c>
    </row>
    <row r="89" spans="1:13" ht="15.75" customHeight="1">
      <c r="A89" s="3" t="s">
        <v>110</v>
      </c>
      <c r="B89" s="3" t="s">
        <v>119</v>
      </c>
      <c r="C89" s="3" t="s">
        <v>15</v>
      </c>
      <c r="D89" s="3" t="s">
        <v>42</v>
      </c>
      <c r="E89" s="3" t="s">
        <v>17</v>
      </c>
      <c r="F89" s="3">
        <v>16.509</v>
      </c>
      <c r="G89" s="3">
        <f t="shared" ref="G89" si="8">F89/F90</f>
        <v>0.71076764110733204</v>
      </c>
      <c r="H89" s="308">
        <f t="shared" ref="H89" si="9">(G89-0.94)/0.52</f>
        <v>-0.44083145940897672</v>
      </c>
      <c r="I89" s="55" t="s">
        <v>120</v>
      </c>
    </row>
    <row r="90" spans="1:13" ht="15.75" customHeight="1">
      <c r="A90" s="3"/>
      <c r="B90" s="3"/>
      <c r="C90" s="3"/>
      <c r="D90" s="3" t="s">
        <v>42</v>
      </c>
      <c r="E90" s="3" t="s">
        <v>19</v>
      </c>
      <c r="F90" s="3">
        <v>23.227</v>
      </c>
      <c r="G90" s="3"/>
      <c r="H90" s="308"/>
    </row>
    <row r="95" spans="1:13" s="122" customFormat="1" ht="15.75" customHeight="1">
      <c r="F95" s="126"/>
      <c r="G95" s="126"/>
      <c r="H95" s="126"/>
      <c r="J95" s="286"/>
      <c r="K95" s="286"/>
      <c r="L95" s="286"/>
      <c r="M95" s="286"/>
    </row>
    <row r="96" spans="1:13" ht="15.75" customHeight="1">
      <c r="A96" s="68" t="s">
        <v>121</v>
      </c>
      <c r="B96" s="66" t="s">
        <v>122</v>
      </c>
      <c r="C96" s="66" t="s">
        <v>15</v>
      </c>
      <c r="D96" s="66" t="s">
        <v>89</v>
      </c>
      <c r="E96" s="66" t="s">
        <v>17</v>
      </c>
      <c r="F96" s="66">
        <v>17.536999999999999</v>
      </c>
      <c r="G96" s="66">
        <v>0.90926530800000005</v>
      </c>
      <c r="H96" s="276">
        <v>-5.8999999999999997E-2</v>
      </c>
      <c r="I96" s="55" t="s">
        <v>123</v>
      </c>
    </row>
    <row r="97" spans="1:13" ht="15.75" customHeight="1">
      <c r="A97" s="70" t="s">
        <v>29</v>
      </c>
      <c r="B97" s="65" t="s">
        <v>29</v>
      </c>
      <c r="C97" s="65" t="s">
        <v>29</v>
      </c>
      <c r="D97" s="65" t="s">
        <v>89</v>
      </c>
      <c r="E97" s="65" t="s">
        <v>19</v>
      </c>
      <c r="F97" s="65">
        <v>19.286999999999999</v>
      </c>
      <c r="G97" s="65" t="s">
        <v>29</v>
      </c>
      <c r="H97" s="65" t="s">
        <v>29</v>
      </c>
    </row>
    <row r="98" spans="1:13" ht="15.75" customHeight="1">
      <c r="A98" s="70" t="s">
        <v>121</v>
      </c>
      <c r="B98" s="65" t="s">
        <v>124</v>
      </c>
      <c r="C98" s="65" t="s">
        <v>30</v>
      </c>
      <c r="D98" s="65" t="s">
        <v>108</v>
      </c>
      <c r="E98" s="65" t="s">
        <v>17</v>
      </c>
      <c r="F98" s="65">
        <v>17.039000000000001</v>
      </c>
      <c r="G98" s="65">
        <v>0.65615372800000005</v>
      </c>
      <c r="H98" s="276">
        <v>-0.54600000000000004</v>
      </c>
      <c r="I98" s="55" t="s">
        <v>123</v>
      </c>
      <c r="J98" s="287" t="s">
        <v>125</v>
      </c>
      <c r="K98" s="279" t="s">
        <v>121</v>
      </c>
      <c r="L98" s="281">
        <v>44950</v>
      </c>
      <c r="M98" s="284" t="s">
        <v>24</v>
      </c>
    </row>
    <row r="99" spans="1:13" ht="15.75" customHeight="1">
      <c r="A99" s="70" t="s">
        <v>29</v>
      </c>
      <c r="B99" s="65" t="s">
        <v>29</v>
      </c>
      <c r="C99" s="65" t="s">
        <v>29</v>
      </c>
      <c r="D99" s="65" t="s">
        <v>108</v>
      </c>
      <c r="E99" s="65" t="s">
        <v>19</v>
      </c>
      <c r="F99" s="65">
        <v>25.968</v>
      </c>
      <c r="G99" s="65" t="s">
        <v>29</v>
      </c>
      <c r="H99" s="65" t="s">
        <v>29</v>
      </c>
    </row>
    <row r="100" spans="1:13" ht="15.75" customHeight="1">
      <c r="A100" s="70" t="s">
        <v>121</v>
      </c>
      <c r="B100" s="65" t="s">
        <v>126</v>
      </c>
      <c r="C100" s="65" t="s">
        <v>33</v>
      </c>
      <c r="D100" s="65" t="s">
        <v>112</v>
      </c>
      <c r="E100" s="65" t="s">
        <v>17</v>
      </c>
      <c r="F100" s="65">
        <v>16.908000000000001</v>
      </c>
      <c r="G100" s="65">
        <v>0.64756798199999999</v>
      </c>
      <c r="H100" s="276">
        <v>-0.56200000000000006</v>
      </c>
      <c r="I100" s="55" t="s">
        <v>123</v>
      </c>
      <c r="J100" s="279" t="s">
        <v>127</v>
      </c>
      <c r="K100" s="291" t="s">
        <v>128</v>
      </c>
      <c r="L100" s="281">
        <v>44966</v>
      </c>
      <c r="M100" s="284" t="s">
        <v>24</v>
      </c>
    </row>
    <row r="101" spans="1:13" ht="15.75" customHeight="1">
      <c r="A101" s="70" t="s">
        <v>29</v>
      </c>
      <c r="B101" s="65" t="s">
        <v>29</v>
      </c>
      <c r="C101" s="65" t="s">
        <v>29</v>
      </c>
      <c r="D101" s="65" t="s">
        <v>112</v>
      </c>
      <c r="E101" s="65" t="s">
        <v>19</v>
      </c>
      <c r="F101" s="65">
        <v>26.11</v>
      </c>
      <c r="G101" s="65" t="s">
        <v>29</v>
      </c>
      <c r="H101" s="65" t="s">
        <v>29</v>
      </c>
    </row>
    <row r="109" spans="1:13" s="122" customFormat="1" ht="15.75" customHeight="1">
      <c r="F109" s="126"/>
      <c r="G109" s="126"/>
      <c r="H109" s="126"/>
      <c r="J109" s="286"/>
      <c r="K109" s="286"/>
      <c r="L109" s="286"/>
      <c r="M109" s="286"/>
    </row>
    <row r="110" spans="1:13" ht="15.75" customHeight="1">
      <c r="A110" s="68" t="s">
        <v>129</v>
      </c>
      <c r="B110" s="66" t="s">
        <v>130</v>
      </c>
      <c r="C110" s="66" t="s">
        <v>15</v>
      </c>
      <c r="D110" s="66" t="s">
        <v>68</v>
      </c>
      <c r="E110" s="66" t="s">
        <v>17</v>
      </c>
      <c r="F110" s="66">
        <v>17.334</v>
      </c>
      <c r="G110" s="66">
        <v>0.75042209599999998</v>
      </c>
      <c r="H110" s="247">
        <v>-0.36499999999999999</v>
      </c>
      <c r="I110" s="55" t="s">
        <v>131</v>
      </c>
    </row>
    <row r="111" spans="1:13" ht="15.75" customHeight="1">
      <c r="A111" s="70" t="s">
        <v>29</v>
      </c>
      <c r="B111" s="65" t="s">
        <v>29</v>
      </c>
      <c r="C111" s="65" t="s">
        <v>29</v>
      </c>
      <c r="D111" s="65" t="s">
        <v>68</v>
      </c>
      <c r="E111" s="65" t="s">
        <v>19</v>
      </c>
      <c r="F111" s="65">
        <v>23.099</v>
      </c>
      <c r="G111" s="65" t="s">
        <v>29</v>
      </c>
      <c r="H111" s="65" t="s">
        <v>29</v>
      </c>
    </row>
    <row r="112" spans="1:13" ht="15.75" customHeight="1">
      <c r="A112" s="70" t="s">
        <v>129</v>
      </c>
      <c r="B112" s="65" t="s">
        <v>132</v>
      </c>
      <c r="C112" s="65" t="s">
        <v>21</v>
      </c>
      <c r="D112" s="65" t="s">
        <v>71</v>
      </c>
      <c r="E112" s="65" t="s">
        <v>17</v>
      </c>
      <c r="F112" s="65">
        <v>16.146999999999998</v>
      </c>
      <c r="G112" s="65">
        <v>0.71789969799999998</v>
      </c>
      <c r="H112" s="247">
        <v>-0.42699999999999999</v>
      </c>
      <c r="I112" s="55" t="s">
        <v>131</v>
      </c>
      <c r="J112" s="279" t="s">
        <v>133</v>
      </c>
      <c r="K112" s="279" t="s">
        <v>129</v>
      </c>
      <c r="L112" s="281">
        <v>44950</v>
      </c>
      <c r="M112" s="284" t="s">
        <v>24</v>
      </c>
    </row>
    <row r="113" spans="1:13" ht="15.75" customHeight="1">
      <c r="A113" s="70" t="s">
        <v>29</v>
      </c>
      <c r="B113" s="65" t="s">
        <v>29</v>
      </c>
      <c r="C113" s="65" t="s">
        <v>29</v>
      </c>
      <c r="D113" s="65" t="s">
        <v>71</v>
      </c>
      <c r="E113" s="65" t="s">
        <v>19</v>
      </c>
      <c r="F113" s="65">
        <v>22.492000000000001</v>
      </c>
      <c r="G113" s="65" t="s">
        <v>29</v>
      </c>
      <c r="H113" s="65" t="s">
        <v>29</v>
      </c>
    </row>
    <row r="114" spans="1:13" ht="15.75" customHeight="1">
      <c r="A114" s="70" t="s">
        <v>129</v>
      </c>
      <c r="B114" s="65" t="s">
        <v>134</v>
      </c>
      <c r="C114" s="65" t="s">
        <v>45</v>
      </c>
      <c r="D114" s="65" t="s">
        <v>74</v>
      </c>
      <c r="E114" s="65" t="s">
        <v>17</v>
      </c>
      <c r="F114" s="65">
        <v>16.579000000000001</v>
      </c>
      <c r="G114" s="65">
        <v>0.55815910899999999</v>
      </c>
      <c r="H114" s="247">
        <v>-0.73399999999999999</v>
      </c>
      <c r="I114" s="55" t="s">
        <v>131</v>
      </c>
      <c r="J114" s="279" t="s">
        <v>135</v>
      </c>
      <c r="K114" s="279" t="s">
        <v>136</v>
      </c>
      <c r="L114" s="281">
        <v>44966</v>
      </c>
      <c r="M114" s="284" t="s">
        <v>24</v>
      </c>
    </row>
    <row r="115" spans="1:13" ht="15.75" customHeight="1">
      <c r="A115" s="70" t="s">
        <v>29</v>
      </c>
      <c r="B115" s="65" t="s">
        <v>29</v>
      </c>
      <c r="C115" s="65" t="s">
        <v>29</v>
      </c>
      <c r="D115" s="65" t="s">
        <v>74</v>
      </c>
      <c r="E115" s="65" t="s">
        <v>19</v>
      </c>
      <c r="F115" s="65">
        <v>29.702999999999999</v>
      </c>
      <c r="G115" s="65" t="s">
        <v>29</v>
      </c>
      <c r="H115" s="65" t="s">
        <v>29</v>
      </c>
    </row>
    <row r="116" spans="1:13" ht="15.75" customHeight="1">
      <c r="A116" s="3" t="s">
        <v>137</v>
      </c>
      <c r="B116" s="3" t="s">
        <v>138</v>
      </c>
      <c r="C116" s="3" t="s">
        <v>15</v>
      </c>
      <c r="D116" s="3" t="s">
        <v>39</v>
      </c>
      <c r="E116" s="3" t="s">
        <v>17</v>
      </c>
      <c r="F116" s="3">
        <v>16.692</v>
      </c>
      <c r="G116" s="3">
        <f t="shared" ref="G116" si="10">F116/F117</f>
        <v>0.74282408437541725</v>
      </c>
      <c r="H116" s="308">
        <f t="shared" ref="H116" si="11">(G116-0.94)/0.52</f>
        <v>-0.37918445312419746</v>
      </c>
      <c r="I116" s="55" t="s">
        <v>120</v>
      </c>
    </row>
    <row r="117" spans="1:13" ht="15.75" customHeight="1">
      <c r="A117" s="3"/>
      <c r="B117" s="3"/>
      <c r="C117" s="3"/>
      <c r="D117" s="3" t="s">
        <v>39</v>
      </c>
      <c r="E117" s="3" t="s">
        <v>19</v>
      </c>
      <c r="F117" s="3">
        <v>22.471</v>
      </c>
      <c r="G117" s="3"/>
      <c r="H117" s="308"/>
    </row>
    <row r="123" spans="1:13" s="122" customFormat="1" ht="15.75" customHeight="1">
      <c r="F123" s="126"/>
      <c r="G123" s="126"/>
      <c r="H123" s="126"/>
      <c r="J123" s="286"/>
      <c r="K123" s="286"/>
      <c r="L123" s="286"/>
      <c r="M123" s="286"/>
    </row>
    <row r="124" spans="1:13" ht="15.75" customHeight="1">
      <c r="A124" s="68" t="s">
        <v>139</v>
      </c>
      <c r="B124" s="66" t="s">
        <v>140</v>
      </c>
      <c r="C124" s="66" t="s">
        <v>15</v>
      </c>
      <c r="D124" s="66" t="s">
        <v>81</v>
      </c>
      <c r="E124" s="66" t="s">
        <v>17</v>
      </c>
      <c r="F124" s="66">
        <v>15.99</v>
      </c>
      <c r="G124" s="66">
        <v>0.75951170899999998</v>
      </c>
      <c r="H124" s="247">
        <v>-0.34699999999999998</v>
      </c>
      <c r="I124" s="55" t="s">
        <v>131</v>
      </c>
    </row>
    <row r="125" spans="1:13" ht="15.75" customHeight="1">
      <c r="A125" s="70" t="s">
        <v>29</v>
      </c>
      <c r="B125" s="65" t="s">
        <v>29</v>
      </c>
      <c r="C125" s="65" t="s">
        <v>29</v>
      </c>
      <c r="D125" s="65" t="s">
        <v>81</v>
      </c>
      <c r="E125" s="65" t="s">
        <v>19</v>
      </c>
      <c r="F125" s="65">
        <v>21.053000000000001</v>
      </c>
      <c r="G125" s="65" t="s">
        <v>29</v>
      </c>
      <c r="H125" s="65" t="s">
        <v>29</v>
      </c>
    </row>
    <row r="126" spans="1:13" ht="15.75" customHeight="1">
      <c r="A126" s="70" t="s">
        <v>139</v>
      </c>
      <c r="B126" s="65" t="s">
        <v>141</v>
      </c>
      <c r="C126" s="65" t="s">
        <v>21</v>
      </c>
      <c r="D126" s="65" t="s">
        <v>83</v>
      </c>
      <c r="E126" s="65" t="s">
        <v>17</v>
      </c>
      <c r="F126" s="65">
        <v>16.302</v>
      </c>
      <c r="G126" s="65">
        <v>0.80416337800000004</v>
      </c>
      <c r="H126" s="247">
        <v>-0.26100000000000001</v>
      </c>
      <c r="I126" s="55" t="s">
        <v>131</v>
      </c>
      <c r="J126" s="279" t="s">
        <v>142</v>
      </c>
      <c r="K126" s="279" t="s">
        <v>143</v>
      </c>
      <c r="L126" s="281">
        <v>44966</v>
      </c>
      <c r="M126" s="284" t="s">
        <v>24</v>
      </c>
    </row>
    <row r="127" spans="1:13" ht="15.75" customHeight="1">
      <c r="A127" s="70" t="s">
        <v>29</v>
      </c>
      <c r="B127" s="65" t="s">
        <v>29</v>
      </c>
      <c r="C127" s="65" t="s">
        <v>29</v>
      </c>
      <c r="D127" s="65" t="s">
        <v>83</v>
      </c>
      <c r="E127" s="65" t="s">
        <v>19</v>
      </c>
      <c r="F127" s="65">
        <v>20.271999999999998</v>
      </c>
      <c r="G127" s="65" t="s">
        <v>29</v>
      </c>
      <c r="H127" s="65" t="s">
        <v>29</v>
      </c>
    </row>
    <row r="128" spans="1:13" ht="15.75" customHeight="1">
      <c r="A128" s="70" t="s">
        <v>139</v>
      </c>
      <c r="B128" s="65" t="s">
        <v>144</v>
      </c>
      <c r="C128" s="65" t="s">
        <v>45</v>
      </c>
      <c r="D128" s="65" t="s">
        <v>27</v>
      </c>
      <c r="E128" s="65" t="s">
        <v>17</v>
      </c>
      <c r="F128" s="65">
        <v>16.893999999999998</v>
      </c>
      <c r="G128" s="65">
        <v>0.68702724699999995</v>
      </c>
      <c r="H128" s="247">
        <v>-0.48599999999999999</v>
      </c>
      <c r="I128" s="55" t="s">
        <v>131</v>
      </c>
      <c r="J128" s="279" t="s">
        <v>145</v>
      </c>
      <c r="K128" s="279" t="s">
        <v>143</v>
      </c>
      <c r="L128" s="281">
        <v>44980</v>
      </c>
      <c r="M128" s="284" t="s">
        <v>24</v>
      </c>
    </row>
    <row r="129" spans="1:13" ht="15.75" customHeight="1">
      <c r="A129" s="70" t="s">
        <v>29</v>
      </c>
      <c r="B129" s="65" t="s">
        <v>29</v>
      </c>
      <c r="C129" s="65" t="s">
        <v>29</v>
      </c>
      <c r="D129" s="65" t="s">
        <v>27</v>
      </c>
      <c r="E129" s="65" t="s">
        <v>19</v>
      </c>
      <c r="F129" s="65">
        <v>24.59</v>
      </c>
      <c r="G129" s="65" t="s">
        <v>29</v>
      </c>
      <c r="H129" s="65" t="s">
        <v>29</v>
      </c>
    </row>
    <row r="130" spans="1:13" ht="15.75" customHeight="1">
      <c r="A130" s="68" t="s">
        <v>139</v>
      </c>
      <c r="B130" s="66" t="s">
        <v>146</v>
      </c>
      <c r="C130" s="66" t="s">
        <v>38</v>
      </c>
      <c r="D130" s="66" t="s">
        <v>55</v>
      </c>
      <c r="E130" s="66" t="s">
        <v>17</v>
      </c>
      <c r="F130" s="66">
        <v>17.145</v>
      </c>
      <c r="G130" s="66">
        <v>0.85447296299999997</v>
      </c>
      <c r="H130" s="339">
        <v>-0.16400000000000001</v>
      </c>
      <c r="I130" s="55" t="s">
        <v>147</v>
      </c>
    </row>
    <row r="131" spans="1:13" ht="15.75" customHeight="1">
      <c r="A131" s="70" t="s">
        <v>29</v>
      </c>
      <c r="B131" s="65" t="s">
        <v>29</v>
      </c>
      <c r="C131" s="65" t="s">
        <v>29</v>
      </c>
      <c r="D131" s="65" t="s">
        <v>55</v>
      </c>
      <c r="E131" s="65" t="s">
        <v>19</v>
      </c>
      <c r="F131" s="65">
        <v>20.065000000000001</v>
      </c>
      <c r="G131" s="65" t="s">
        <v>29</v>
      </c>
      <c r="H131" s="65" t="s">
        <v>29</v>
      </c>
    </row>
    <row r="138" spans="1:13" s="122" customFormat="1" ht="15.7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286"/>
      <c r="K138" s="286"/>
      <c r="L138" s="286"/>
      <c r="M138" s="286"/>
    </row>
    <row r="139" spans="1:13" ht="15.75" customHeight="1">
      <c r="A139" s="51" t="s">
        <v>148</v>
      </c>
      <c r="B139" s="51" t="s">
        <v>149</v>
      </c>
      <c r="C139" s="51" t="s">
        <v>15</v>
      </c>
      <c r="D139" s="51"/>
      <c r="E139" s="51"/>
      <c r="I139" s="51"/>
    </row>
    <row r="140" spans="1:13" ht="15.75" customHeight="1">
      <c r="A140" s="51"/>
      <c r="B140" s="51"/>
      <c r="C140" s="51"/>
      <c r="D140" s="51"/>
      <c r="E140" s="51"/>
      <c r="I140" s="51"/>
    </row>
    <row r="141" spans="1:13" ht="15.75" customHeight="1">
      <c r="A141" s="51" t="s">
        <v>148</v>
      </c>
      <c r="B141" s="51" t="s">
        <v>150</v>
      </c>
      <c r="C141" s="51" t="s">
        <v>151</v>
      </c>
      <c r="D141" s="51"/>
      <c r="E141" s="51"/>
      <c r="I141" s="51"/>
    </row>
    <row r="142" spans="1:13" ht="15.75" customHeight="1">
      <c r="A142" s="51"/>
      <c r="B142" s="51"/>
      <c r="C142" s="51"/>
      <c r="D142" s="51"/>
      <c r="E142" s="51"/>
      <c r="I142" s="51"/>
    </row>
    <row r="143" spans="1:13" ht="15.75" customHeight="1">
      <c r="A143" s="51" t="s">
        <v>148</v>
      </c>
      <c r="B143" s="51" t="s">
        <v>152</v>
      </c>
      <c r="C143" s="51" t="s">
        <v>45</v>
      </c>
      <c r="D143" s="51"/>
      <c r="E143" s="51"/>
      <c r="I143" s="51"/>
      <c r="J143" s="279" t="s">
        <v>153</v>
      </c>
      <c r="K143" s="279" t="s">
        <v>148</v>
      </c>
      <c r="L143" s="281">
        <v>45056</v>
      </c>
      <c r="M143" s="284" t="s">
        <v>24</v>
      </c>
    </row>
    <row r="144" spans="1:13" ht="15.75" customHeight="1">
      <c r="A144" s="51"/>
      <c r="B144" s="51"/>
      <c r="C144" s="51"/>
      <c r="D144" s="51"/>
      <c r="E144" s="51"/>
      <c r="I144" s="51"/>
    </row>
    <row r="145" spans="1:9" ht="15.75" customHeight="1">
      <c r="A145" s="51"/>
      <c r="B145" s="51"/>
      <c r="C145" s="51"/>
      <c r="D145" s="51"/>
      <c r="E145" s="51"/>
      <c r="I145" s="51"/>
    </row>
    <row r="146" spans="1:9" ht="15.75" customHeight="1">
      <c r="A146" s="51"/>
      <c r="B146" s="51"/>
      <c r="C146" s="51"/>
      <c r="D146" s="51"/>
      <c r="E146" s="51"/>
      <c r="I146" s="51"/>
    </row>
    <row r="147" spans="1:9" ht="15.75" customHeight="1">
      <c r="A147" t="s">
        <v>154</v>
      </c>
      <c r="B147" t="s">
        <v>103</v>
      </c>
      <c r="C147" s="51" t="s">
        <v>15</v>
      </c>
    </row>
    <row r="148" spans="1:9" ht="15.75" customHeight="1">
      <c r="C148" s="51"/>
    </row>
    <row r="149" spans="1:9" ht="15.75" customHeight="1">
      <c r="A149" t="s">
        <v>154</v>
      </c>
      <c r="B149" t="s">
        <v>104</v>
      </c>
      <c r="C149" s="51" t="s">
        <v>151</v>
      </c>
    </row>
    <row r="150" spans="1:9" ht="15.75" customHeight="1">
      <c r="C150" s="51"/>
    </row>
    <row r="151" spans="1:9" ht="15.75" customHeight="1">
      <c r="A151" t="s">
        <v>154</v>
      </c>
      <c r="B151" t="s">
        <v>107</v>
      </c>
      <c r="C151" s="51" t="s">
        <v>45</v>
      </c>
    </row>
    <row r="152" spans="1:9" ht="15.75" customHeight="1">
      <c r="C152" s="51"/>
    </row>
  </sheetData>
  <conditionalFormatting sqref="H31:H34">
    <cfRule type="cellIs" dxfId="152" priority="7" operator="lessThan">
      <formula>0</formula>
    </cfRule>
    <cfRule type="cellIs" dxfId="151" priority="8" operator="greaterThan">
      <formula>0</formula>
    </cfRule>
  </conditionalFormatting>
  <conditionalFormatting sqref="H66:H67">
    <cfRule type="cellIs" dxfId="150" priority="5" operator="lessThan">
      <formula>0</formula>
    </cfRule>
    <cfRule type="cellIs" dxfId="149" priority="6" operator="greaterThan">
      <formula>0</formula>
    </cfRule>
  </conditionalFormatting>
  <conditionalFormatting sqref="H89:H90">
    <cfRule type="cellIs" dxfId="148" priority="1" operator="lessThan">
      <formula>0</formula>
    </cfRule>
    <cfRule type="cellIs" dxfId="147" priority="2" operator="greaterThan">
      <formula>0</formula>
    </cfRule>
  </conditionalFormatting>
  <conditionalFormatting sqref="H116:H117">
    <cfRule type="cellIs" dxfId="146" priority="3" operator="lessThan">
      <formula>0</formula>
    </cfRule>
    <cfRule type="cellIs" dxfId="145" priority="4" operator="greaterThan">
      <formula>0</formula>
    </cfRule>
  </conditionalFormatting>
  <pageMargins left="0.7" right="0.7" top="0.75" bottom="0.75" header="0.3" footer="0.3"/>
  <pageSetup scale="8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980B-5FB4-FF41-927C-4A75201F9469}">
  <sheetPr>
    <pageSetUpPr fitToPage="1"/>
  </sheetPr>
  <dimension ref="A1:M294"/>
  <sheetViews>
    <sheetView workbookViewId="0">
      <pane ySplit="1" topLeftCell="A275" activePane="bottomLeft" state="frozen"/>
      <selection pane="bottomLeft" activeCell="J284" sqref="J284"/>
    </sheetView>
  </sheetViews>
  <sheetFormatPr baseColWidth="10" defaultColWidth="11" defaultRowHeight="15.75" customHeight="1"/>
  <cols>
    <col min="1" max="1" width="13" bestFit="1" customWidth="1"/>
    <col min="2" max="2" width="17.33203125" bestFit="1" customWidth="1"/>
    <col min="3" max="3" width="11" style="51"/>
    <col min="6" max="6" width="11" style="51"/>
    <col min="8" max="8" width="18.33203125" style="51" bestFit="1" customWidth="1"/>
    <col min="9" max="9" width="12.1640625" bestFit="1" customWidth="1"/>
    <col min="10" max="10" width="25.6640625" style="51" bestFit="1" customWidth="1"/>
    <col min="11" max="11" width="12.6640625" style="51" bestFit="1" customWidth="1"/>
    <col min="12" max="12" width="17.33203125" style="51" bestFit="1" customWidth="1"/>
    <col min="13" max="13" width="11" style="51"/>
  </cols>
  <sheetData>
    <row r="1" spans="1:13" ht="16">
      <c r="A1" s="1" t="s">
        <v>0</v>
      </c>
      <c r="B1" s="62" t="s">
        <v>1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38" t="s">
        <v>7</v>
      </c>
      <c r="I1" t="s">
        <v>155</v>
      </c>
      <c r="J1" s="88" t="s">
        <v>9</v>
      </c>
      <c r="K1" s="88" t="s">
        <v>10</v>
      </c>
      <c r="L1" s="88" t="s">
        <v>11</v>
      </c>
      <c r="M1" s="88" t="s">
        <v>12</v>
      </c>
    </row>
    <row r="2" spans="1:13" ht="15.75" customHeight="1">
      <c r="A2" s="39" t="s">
        <v>156</v>
      </c>
      <c r="B2" s="63" t="s">
        <v>157</v>
      </c>
      <c r="C2" s="39" t="s">
        <v>15</v>
      </c>
      <c r="D2" s="7" t="s">
        <v>68</v>
      </c>
      <c r="E2" s="7" t="s">
        <v>17</v>
      </c>
      <c r="F2" s="4">
        <v>18.096</v>
      </c>
      <c r="G2" s="3">
        <f>F2/F3</f>
        <v>0.79637371825903269</v>
      </c>
      <c r="H2" s="41">
        <f>(G2-0.94)/0.52</f>
        <v>-0.27620438796339858</v>
      </c>
      <c r="I2" s="55" t="s">
        <v>158</v>
      </c>
    </row>
    <row r="3" spans="1:13" ht="16">
      <c r="A3" s="39"/>
      <c r="B3" s="63"/>
      <c r="C3" s="4"/>
      <c r="D3" s="7" t="s">
        <v>68</v>
      </c>
      <c r="E3" s="7" t="s">
        <v>19</v>
      </c>
      <c r="F3" s="4">
        <v>22.722999999999999</v>
      </c>
      <c r="G3" s="3"/>
      <c r="H3" s="41"/>
    </row>
    <row r="4" spans="1:13" ht="16">
      <c r="A4" s="39" t="s">
        <v>156</v>
      </c>
      <c r="B4" s="63" t="s">
        <v>159</v>
      </c>
      <c r="C4" s="39" t="s">
        <v>30</v>
      </c>
      <c r="D4" s="7" t="s">
        <v>71</v>
      </c>
      <c r="E4" s="7" t="s">
        <v>17</v>
      </c>
      <c r="F4" s="4">
        <v>17.577000000000002</v>
      </c>
      <c r="G4" s="3">
        <f t="shared" ref="G4:G19" si="0">F4/F5</f>
        <v>0.89578024666191014</v>
      </c>
      <c r="H4" s="41">
        <f t="shared" ref="H4:H19" si="1">(G4-0.94)/0.52</f>
        <v>-8.5037987188634243E-2</v>
      </c>
      <c r="I4" s="55" t="s">
        <v>158</v>
      </c>
      <c r="J4" s="66" t="s">
        <v>159</v>
      </c>
      <c r="K4" s="68" t="s">
        <v>156</v>
      </c>
      <c r="L4" s="86">
        <v>44797</v>
      </c>
      <c r="M4" s="87" t="s">
        <v>24</v>
      </c>
    </row>
    <row r="5" spans="1:13" ht="16">
      <c r="A5" s="39"/>
      <c r="B5" s="63"/>
      <c r="C5" s="4"/>
      <c r="D5" s="7" t="s">
        <v>71</v>
      </c>
      <c r="E5" s="7" t="s">
        <v>19</v>
      </c>
      <c r="F5" s="4">
        <v>19.622</v>
      </c>
      <c r="G5" s="3"/>
      <c r="H5" s="41"/>
    </row>
    <row r="6" spans="1:13" ht="16">
      <c r="A6" s="39" t="s">
        <v>156</v>
      </c>
      <c r="B6" s="63" t="s">
        <v>160</v>
      </c>
      <c r="C6" s="39" t="s">
        <v>33</v>
      </c>
      <c r="D6" s="7" t="s">
        <v>74</v>
      </c>
      <c r="E6" s="7" t="s">
        <v>17</v>
      </c>
      <c r="F6" s="4">
        <v>18.193999999999999</v>
      </c>
      <c r="G6" s="3">
        <f t="shared" si="0"/>
        <v>1.0028662771469519</v>
      </c>
      <c r="H6" s="42">
        <f t="shared" si="1"/>
        <v>0.12089668682106139</v>
      </c>
      <c r="I6" s="55" t="s">
        <v>158</v>
      </c>
    </row>
    <row r="7" spans="1:13" ht="16">
      <c r="A7" s="39"/>
      <c r="B7" s="63"/>
      <c r="C7" s="4"/>
      <c r="D7" s="7" t="s">
        <v>74</v>
      </c>
      <c r="E7" s="7" t="s">
        <v>19</v>
      </c>
      <c r="F7" s="4">
        <v>18.141999999999999</v>
      </c>
      <c r="G7" s="3"/>
      <c r="H7" s="42"/>
    </row>
    <row r="8" spans="1:13" ht="16">
      <c r="A8" s="60" t="s">
        <v>161</v>
      </c>
      <c r="B8" s="61" t="s">
        <v>162</v>
      </c>
      <c r="C8" s="65" t="s">
        <v>38</v>
      </c>
      <c r="D8" s="61" t="s">
        <v>100</v>
      </c>
      <c r="E8" s="61" t="s">
        <v>17</v>
      </c>
      <c r="F8" s="65">
        <v>17.940000000000001</v>
      </c>
      <c r="G8" s="61">
        <v>0.79093554399999999</v>
      </c>
      <c r="H8" s="67">
        <v>-0.28699999999999998</v>
      </c>
      <c r="I8" s="55" t="s">
        <v>40</v>
      </c>
      <c r="J8" s="80" t="s">
        <v>163</v>
      </c>
      <c r="K8" s="80" t="s">
        <v>156</v>
      </c>
      <c r="L8" s="186">
        <v>44825</v>
      </c>
      <c r="M8" s="87" t="s">
        <v>24</v>
      </c>
    </row>
    <row r="9" spans="1:13" ht="16">
      <c r="A9" s="60"/>
      <c r="B9" s="61"/>
      <c r="C9" s="65" t="s">
        <v>29</v>
      </c>
      <c r="D9" s="61" t="s">
        <v>100</v>
      </c>
      <c r="E9" s="61" t="s">
        <v>19</v>
      </c>
      <c r="F9" s="65">
        <v>22.681999999999999</v>
      </c>
      <c r="G9" s="61" t="s">
        <v>29</v>
      </c>
      <c r="H9" s="65" t="s">
        <v>29</v>
      </c>
    </row>
    <row r="10" spans="1:13" ht="16">
      <c r="A10" s="60" t="s">
        <v>164</v>
      </c>
      <c r="B10" s="61"/>
      <c r="C10" s="65"/>
      <c r="D10" s="61"/>
      <c r="E10" s="61"/>
      <c r="F10" s="65"/>
      <c r="G10" s="61"/>
      <c r="H10" s="65"/>
      <c r="J10" s="4" t="s">
        <v>165</v>
      </c>
      <c r="K10" s="221" t="s">
        <v>166</v>
      </c>
      <c r="L10" s="165">
        <v>44859</v>
      </c>
      <c r="M10" s="143" t="s">
        <v>24</v>
      </c>
    </row>
    <row r="11" spans="1:13" ht="16">
      <c r="A11" s="60"/>
      <c r="B11" s="61"/>
      <c r="C11" s="65"/>
      <c r="D11" s="61"/>
      <c r="E11" s="61"/>
      <c r="F11" s="65"/>
      <c r="G11" s="61"/>
      <c r="H11" s="65"/>
    </row>
    <row r="12" spans="1:13" s="122" customFormat="1" ht="16">
      <c r="A12" s="123"/>
      <c r="B12" s="124"/>
      <c r="C12" s="125"/>
      <c r="D12" s="124"/>
      <c r="E12" s="124"/>
      <c r="F12" s="125"/>
      <c r="G12" s="124"/>
      <c r="H12" s="125"/>
      <c r="J12" s="126"/>
      <c r="K12" s="126"/>
      <c r="L12" s="126"/>
      <c r="M12" s="126"/>
    </row>
    <row r="13" spans="1:13" ht="15.75" customHeight="1">
      <c r="A13" s="39" t="s">
        <v>167</v>
      </c>
      <c r="B13" s="63" t="s">
        <v>168</v>
      </c>
      <c r="C13" s="39" t="s">
        <v>15</v>
      </c>
      <c r="D13" s="7" t="s">
        <v>81</v>
      </c>
      <c r="E13" s="7" t="s">
        <v>17</v>
      </c>
      <c r="F13" s="4">
        <v>17.352</v>
      </c>
      <c r="G13" s="3">
        <f t="shared" si="0"/>
        <v>0.77801192664663943</v>
      </c>
      <c r="H13" s="41">
        <f t="shared" si="1"/>
        <v>-0.31151552567953944</v>
      </c>
      <c r="I13" s="55" t="s">
        <v>158</v>
      </c>
    </row>
    <row r="14" spans="1:13" ht="16">
      <c r="A14" s="39"/>
      <c r="B14" s="63"/>
      <c r="C14" s="4"/>
      <c r="D14" s="7" t="s">
        <v>81</v>
      </c>
      <c r="E14" s="7" t="s">
        <v>19</v>
      </c>
      <c r="F14" s="4">
        <v>22.303000000000001</v>
      </c>
      <c r="G14" s="3"/>
      <c r="H14" s="41"/>
    </row>
    <row r="15" spans="1:13" ht="16">
      <c r="A15" s="39" t="s">
        <v>167</v>
      </c>
      <c r="B15" s="63" t="s">
        <v>169</v>
      </c>
      <c r="C15" s="39" t="s">
        <v>30</v>
      </c>
      <c r="D15" s="7" t="s">
        <v>83</v>
      </c>
      <c r="E15" s="7" t="s">
        <v>17</v>
      </c>
      <c r="F15" s="4">
        <v>17.488</v>
      </c>
      <c r="G15" s="3">
        <f t="shared" si="0"/>
        <v>0.67623061753219127</v>
      </c>
      <c r="H15" s="41">
        <f t="shared" si="1"/>
        <v>-0.50724881243809361</v>
      </c>
      <c r="I15" s="55" t="s">
        <v>158</v>
      </c>
      <c r="J15" s="66" t="s">
        <v>169</v>
      </c>
      <c r="K15" s="68" t="s">
        <v>167</v>
      </c>
      <c r="L15" s="86">
        <v>44797</v>
      </c>
      <c r="M15" s="87" t="s">
        <v>24</v>
      </c>
    </row>
    <row r="16" spans="1:13" ht="16">
      <c r="A16" s="39"/>
      <c r="B16" s="63"/>
      <c r="C16" s="4"/>
      <c r="D16" s="7" t="s">
        <v>83</v>
      </c>
      <c r="E16" s="7" t="s">
        <v>19</v>
      </c>
      <c r="F16" s="4">
        <v>25.861000000000001</v>
      </c>
      <c r="G16" s="3"/>
      <c r="H16" s="41"/>
    </row>
    <row r="17" spans="1:13" ht="16">
      <c r="A17" s="39" t="s">
        <v>167</v>
      </c>
      <c r="B17" s="63" t="s">
        <v>170</v>
      </c>
      <c r="C17" s="39" t="s">
        <v>33</v>
      </c>
      <c r="D17" s="7" t="s">
        <v>27</v>
      </c>
      <c r="E17" s="7" t="s">
        <v>17</v>
      </c>
      <c r="F17" s="4">
        <v>17.542000000000002</v>
      </c>
      <c r="G17" s="3">
        <f>F17/F18</f>
        <v>0.64419228085637692</v>
      </c>
      <c r="H17" s="41">
        <f t="shared" si="1"/>
        <v>-0.56886099835312121</v>
      </c>
      <c r="I17" s="55" t="s">
        <v>158</v>
      </c>
    </row>
    <row r="18" spans="1:13" ht="16">
      <c r="A18" s="39"/>
      <c r="B18" s="63"/>
      <c r="C18" s="4"/>
      <c r="D18" s="7" t="s">
        <v>27</v>
      </c>
      <c r="E18" s="7" t="s">
        <v>19</v>
      </c>
      <c r="F18" s="4">
        <v>27.231000000000002</v>
      </c>
      <c r="G18" s="3"/>
      <c r="H18" s="41"/>
    </row>
    <row r="19" spans="1:13" ht="16">
      <c r="A19" s="39" t="s">
        <v>167</v>
      </c>
      <c r="B19" s="63" t="s">
        <v>171</v>
      </c>
      <c r="C19" s="39" t="s">
        <v>33</v>
      </c>
      <c r="D19" s="7" t="s">
        <v>31</v>
      </c>
      <c r="E19" s="7" t="s">
        <v>17</v>
      </c>
      <c r="F19" s="4">
        <v>17.638000000000002</v>
      </c>
      <c r="G19" s="3">
        <f t="shared" si="0"/>
        <v>0.6304915102770331</v>
      </c>
      <c r="H19" s="41">
        <f t="shared" si="1"/>
        <v>-0.59520863408262858</v>
      </c>
      <c r="I19" s="55" t="s">
        <v>158</v>
      </c>
      <c r="J19" s="58" t="s">
        <v>171</v>
      </c>
      <c r="K19" s="57" t="s">
        <v>167</v>
      </c>
      <c r="L19" s="82">
        <v>44797</v>
      </c>
      <c r="M19" s="83" t="s">
        <v>24</v>
      </c>
    </row>
    <row r="20" spans="1:13" ht="16">
      <c r="A20" s="39"/>
      <c r="B20" s="63"/>
      <c r="C20" s="4"/>
      <c r="D20" s="7" t="s">
        <v>31</v>
      </c>
      <c r="E20" s="7" t="s">
        <v>19</v>
      </c>
      <c r="F20" s="4">
        <v>27.975000000000001</v>
      </c>
      <c r="G20" s="3"/>
      <c r="H20" s="41"/>
    </row>
    <row r="21" spans="1:13" ht="16">
      <c r="A21" s="60" t="s">
        <v>167</v>
      </c>
      <c r="B21" s="61" t="s">
        <v>172</v>
      </c>
      <c r="C21" s="65" t="s">
        <v>38</v>
      </c>
      <c r="D21" s="61" t="s">
        <v>173</v>
      </c>
      <c r="E21" s="61" t="s">
        <v>17</v>
      </c>
      <c r="F21" s="65">
        <v>17.734999999999999</v>
      </c>
      <c r="G21" s="61">
        <v>0.78741730700000001</v>
      </c>
      <c r="H21" s="67">
        <v>-0.29299999999999998</v>
      </c>
      <c r="I21" s="55" t="s">
        <v>40</v>
      </c>
    </row>
    <row r="22" spans="1:13" ht="16">
      <c r="A22" s="60"/>
      <c r="B22" s="61"/>
      <c r="C22" s="65" t="s">
        <v>29</v>
      </c>
      <c r="D22" s="61" t="s">
        <v>173</v>
      </c>
      <c r="E22" s="61" t="s">
        <v>19</v>
      </c>
      <c r="F22" s="65">
        <v>22.523</v>
      </c>
      <c r="G22" s="61" t="s">
        <v>29</v>
      </c>
      <c r="H22" s="65" t="s">
        <v>29</v>
      </c>
    </row>
    <row r="23" spans="1:13" ht="16">
      <c r="A23" s="3" t="s">
        <v>174</v>
      </c>
      <c r="B23" s="3" t="s">
        <v>168</v>
      </c>
      <c r="C23" s="3" t="s">
        <v>38</v>
      </c>
      <c r="D23" s="3" t="s">
        <v>89</v>
      </c>
      <c r="E23" s="3" t="s">
        <v>17</v>
      </c>
      <c r="F23" s="3">
        <v>16.077999999999999</v>
      </c>
      <c r="G23" s="3">
        <f t="shared" ref="G23" si="2">F23/F24</f>
        <v>0.65645925200065325</v>
      </c>
      <c r="H23" s="308">
        <f t="shared" ref="H23" si="3">(G23-0.94)/0.52</f>
        <v>-0.54527066922951284</v>
      </c>
      <c r="I23" s="55" t="s">
        <v>64</v>
      </c>
    </row>
    <row r="24" spans="1:13" ht="16">
      <c r="A24" s="3"/>
      <c r="B24" s="3"/>
      <c r="C24" s="3"/>
      <c r="D24" s="3" t="s">
        <v>89</v>
      </c>
      <c r="E24" s="3" t="s">
        <v>19</v>
      </c>
      <c r="F24" s="3">
        <v>24.492000000000001</v>
      </c>
      <c r="G24" s="3"/>
      <c r="H24" s="308"/>
    </row>
    <row r="25" spans="1:13" ht="16">
      <c r="A25" s="3" t="s">
        <v>174</v>
      </c>
      <c r="B25" s="3" t="s">
        <v>175</v>
      </c>
      <c r="C25" s="3" t="s">
        <v>21</v>
      </c>
      <c r="D25" s="3" t="s">
        <v>108</v>
      </c>
      <c r="E25" s="3" t="s">
        <v>17</v>
      </c>
      <c r="F25" s="3">
        <v>17.359000000000002</v>
      </c>
      <c r="G25" s="3">
        <f t="shared" ref="G25" si="4">F25/F26</f>
        <v>0.73010598923283987</v>
      </c>
      <c r="H25" s="308">
        <f t="shared" ref="H25" si="5">(G25-0.94)/0.52</f>
        <v>-0.40364232839838476</v>
      </c>
      <c r="I25" s="55" t="s">
        <v>64</v>
      </c>
    </row>
    <row r="26" spans="1:13" ht="16">
      <c r="A26" s="3"/>
      <c r="B26" s="3"/>
      <c r="C26" s="3"/>
      <c r="D26" s="3" t="s">
        <v>108</v>
      </c>
      <c r="E26" s="3" t="s">
        <v>19</v>
      </c>
      <c r="F26" s="3">
        <v>23.776</v>
      </c>
      <c r="G26" s="3"/>
      <c r="H26" s="308"/>
    </row>
    <row r="27" spans="1:13" ht="16">
      <c r="A27" s="60"/>
      <c r="B27" s="61"/>
      <c r="C27" s="65"/>
      <c r="D27" s="61"/>
      <c r="E27" s="61"/>
      <c r="F27" s="65"/>
      <c r="G27" s="61"/>
      <c r="H27" s="65"/>
      <c r="J27" s="4" t="s">
        <v>176</v>
      </c>
      <c r="K27" s="221" t="s">
        <v>177</v>
      </c>
      <c r="L27" s="165">
        <v>44859</v>
      </c>
      <c r="M27" s="83" t="s">
        <v>24</v>
      </c>
    </row>
    <row r="28" spans="1:13" s="122" customFormat="1" ht="16">
      <c r="A28" s="123"/>
      <c r="B28" s="124"/>
      <c r="C28" s="125"/>
      <c r="D28" s="124"/>
      <c r="E28" s="124"/>
      <c r="F28" s="125"/>
      <c r="G28" s="124"/>
      <c r="H28" s="125"/>
      <c r="J28" s="126"/>
      <c r="K28" s="126"/>
      <c r="L28" s="126"/>
      <c r="M28" s="126"/>
    </row>
    <row r="29" spans="1:13" ht="16" customHeight="1">
      <c r="A29" s="3" t="s">
        <v>178</v>
      </c>
      <c r="B29" s="64" t="s">
        <v>179</v>
      </c>
      <c r="C29" s="3" t="s">
        <v>15</v>
      </c>
      <c r="D29" s="7" t="s">
        <v>180</v>
      </c>
      <c r="E29" s="7" t="s">
        <v>17</v>
      </c>
      <c r="F29" s="4">
        <v>17.834</v>
      </c>
      <c r="G29" s="3">
        <f t="shared" ref="G29" si="6">F29/F30</f>
        <v>0.78883581033262562</v>
      </c>
      <c r="H29" s="41">
        <f t="shared" ref="H29" si="7">(G29-0.94)/0.52</f>
        <v>-0.29070036474495065</v>
      </c>
      <c r="I29" s="55" t="s">
        <v>18</v>
      </c>
    </row>
    <row r="30" spans="1:13" ht="16">
      <c r="A30" s="3"/>
      <c r="B30" s="64"/>
      <c r="C30" s="4"/>
      <c r="D30" s="7" t="s">
        <v>180</v>
      </c>
      <c r="E30" s="7" t="s">
        <v>19</v>
      </c>
      <c r="F30" s="4">
        <v>22.608000000000001</v>
      </c>
      <c r="G30" s="3"/>
      <c r="H30" s="41"/>
    </row>
    <row r="31" spans="1:13" ht="16">
      <c r="A31" s="57" t="s">
        <v>178</v>
      </c>
      <c r="B31" s="58" t="s">
        <v>181</v>
      </c>
      <c r="C31" s="66" t="s">
        <v>21</v>
      </c>
      <c r="D31" s="58" t="s">
        <v>182</v>
      </c>
      <c r="E31" s="58" t="s">
        <v>17</v>
      </c>
      <c r="F31" s="66">
        <v>17.026</v>
      </c>
      <c r="G31" s="58">
        <v>0.69276152499999999</v>
      </c>
      <c r="H31" s="67">
        <v>-0.47499999999999998</v>
      </c>
      <c r="I31" s="55" t="s">
        <v>40</v>
      </c>
      <c r="J31" s="146" t="s">
        <v>183</v>
      </c>
      <c r="K31" s="169" t="s">
        <v>178</v>
      </c>
      <c r="L31" s="165">
        <v>44753</v>
      </c>
      <c r="M31" s="181" t="s">
        <v>24</v>
      </c>
    </row>
    <row r="32" spans="1:13" ht="16">
      <c r="A32" s="57"/>
      <c r="B32" s="58"/>
      <c r="C32" s="65" t="s">
        <v>29</v>
      </c>
      <c r="D32" s="61" t="s">
        <v>182</v>
      </c>
      <c r="E32" s="61" t="s">
        <v>19</v>
      </c>
      <c r="F32" s="65">
        <v>24.577000000000002</v>
      </c>
      <c r="G32" s="61" t="s">
        <v>29</v>
      </c>
      <c r="H32" s="65" t="s">
        <v>29</v>
      </c>
    </row>
    <row r="33" spans="1:13" ht="16">
      <c r="A33" s="60" t="s">
        <v>178</v>
      </c>
      <c r="B33" s="61" t="s">
        <v>184</v>
      </c>
      <c r="C33" s="65" t="s">
        <v>45</v>
      </c>
      <c r="D33" s="61" t="s">
        <v>185</v>
      </c>
      <c r="E33" s="61" t="s">
        <v>17</v>
      </c>
      <c r="F33" s="65">
        <v>18.297000000000001</v>
      </c>
      <c r="G33" s="61">
        <v>0.86144067800000002</v>
      </c>
      <c r="H33" s="67">
        <v>-0.151</v>
      </c>
      <c r="I33" s="55" t="s">
        <v>40</v>
      </c>
      <c r="J33" s="146" t="s">
        <v>186</v>
      </c>
      <c r="K33" s="146" t="s">
        <v>178</v>
      </c>
      <c r="L33" s="165">
        <v>44825</v>
      </c>
      <c r="M33" s="181" t="s">
        <v>24</v>
      </c>
    </row>
    <row r="34" spans="1:13" ht="16">
      <c r="A34" s="60"/>
      <c r="B34" s="61"/>
      <c r="C34" s="65" t="s">
        <v>29</v>
      </c>
      <c r="D34" s="61" t="s">
        <v>185</v>
      </c>
      <c r="E34" s="61" t="s">
        <v>19</v>
      </c>
      <c r="F34" s="65">
        <v>21.24</v>
      </c>
      <c r="G34" s="61" t="s">
        <v>29</v>
      </c>
      <c r="H34" s="65" t="s">
        <v>29</v>
      </c>
      <c r="J34" s="4" t="s">
        <v>187</v>
      </c>
      <c r="K34" s="4" t="s">
        <v>178</v>
      </c>
      <c r="L34" s="186">
        <v>44859</v>
      </c>
      <c r="M34" s="181" t="s">
        <v>24</v>
      </c>
    </row>
    <row r="35" spans="1:13" ht="16">
      <c r="A35" s="209"/>
      <c r="B35" s="209"/>
      <c r="C35" s="97"/>
      <c r="D35" s="209"/>
      <c r="E35" s="209"/>
      <c r="F35" s="97"/>
      <c r="G35" s="209"/>
      <c r="H35" s="97"/>
      <c r="J35" s="211"/>
      <c r="K35" s="210"/>
      <c r="L35" s="186"/>
    </row>
    <row r="36" spans="1:13" ht="16">
      <c r="A36" s="198" t="s">
        <v>188</v>
      </c>
      <c r="B36" s="199" t="s">
        <v>189</v>
      </c>
      <c r="C36" s="199" t="s">
        <v>190</v>
      </c>
      <c r="D36" s="199" t="s">
        <v>59</v>
      </c>
      <c r="E36" s="199" t="s">
        <v>17</v>
      </c>
      <c r="F36" s="199">
        <v>17.562999999999999</v>
      </c>
      <c r="G36" s="199">
        <v>0.77138967000000003</v>
      </c>
      <c r="H36" s="205">
        <v>-0.32400000000000001</v>
      </c>
      <c r="I36" s="55" t="s">
        <v>191</v>
      </c>
      <c r="J36" s="211"/>
      <c r="K36" s="210"/>
      <c r="L36" s="186"/>
    </row>
    <row r="37" spans="1:13" ht="16">
      <c r="A37" s="198" t="s">
        <v>29</v>
      </c>
      <c r="B37" s="199" t="s">
        <v>29</v>
      </c>
      <c r="C37" s="199" t="s">
        <v>29</v>
      </c>
      <c r="D37" s="199" t="s">
        <v>59</v>
      </c>
      <c r="E37" s="199" t="s">
        <v>19</v>
      </c>
      <c r="F37" s="199">
        <v>22.768000000000001</v>
      </c>
      <c r="G37" s="199" t="s">
        <v>29</v>
      </c>
      <c r="H37" s="206" t="s">
        <v>29</v>
      </c>
      <c r="J37" s="211"/>
      <c r="K37" s="210"/>
      <c r="L37" s="186"/>
    </row>
    <row r="38" spans="1:13" ht="16">
      <c r="A38" s="198" t="s">
        <v>188</v>
      </c>
      <c r="B38" s="199" t="s">
        <v>192</v>
      </c>
      <c r="C38" s="199" t="s">
        <v>193</v>
      </c>
      <c r="D38" s="199" t="s">
        <v>49</v>
      </c>
      <c r="E38" s="199" t="s">
        <v>17</v>
      </c>
      <c r="F38" s="199">
        <v>15.987</v>
      </c>
      <c r="G38" s="199">
        <v>0.63372576999999997</v>
      </c>
      <c r="H38" s="205">
        <v>-0.58899999999999997</v>
      </c>
      <c r="I38" s="55" t="s">
        <v>191</v>
      </c>
      <c r="J38" s="146" t="s">
        <v>183</v>
      </c>
      <c r="K38" s="144" t="s">
        <v>194</v>
      </c>
      <c r="L38" s="165">
        <v>44825</v>
      </c>
      <c r="M38" s="181" t="s">
        <v>24</v>
      </c>
    </row>
    <row r="39" spans="1:13" ht="16">
      <c r="A39" s="198" t="s">
        <v>29</v>
      </c>
      <c r="B39" s="199" t="s">
        <v>29</v>
      </c>
      <c r="C39" s="199" t="s">
        <v>29</v>
      </c>
      <c r="D39" s="199" t="s">
        <v>49</v>
      </c>
      <c r="E39" s="199" t="s">
        <v>19</v>
      </c>
      <c r="F39" s="199">
        <v>25.227</v>
      </c>
      <c r="G39" s="199" t="s">
        <v>29</v>
      </c>
      <c r="H39" s="206" t="s">
        <v>29</v>
      </c>
      <c r="J39" s="211"/>
      <c r="K39" s="210"/>
      <c r="L39" s="186"/>
    </row>
    <row r="40" spans="1:13" ht="16">
      <c r="A40" s="198" t="s">
        <v>188</v>
      </c>
      <c r="B40" s="199" t="s">
        <v>195</v>
      </c>
      <c r="C40" s="199" t="s">
        <v>196</v>
      </c>
      <c r="D40" s="199" t="s">
        <v>52</v>
      </c>
      <c r="E40" s="199" t="s">
        <v>17</v>
      </c>
      <c r="F40" s="199">
        <v>16.456</v>
      </c>
      <c r="G40" s="199">
        <v>0.72426389700000005</v>
      </c>
      <c r="H40" s="205">
        <v>-0.41499999999999998</v>
      </c>
      <c r="I40" s="55" t="s">
        <v>191</v>
      </c>
      <c r="J40" s="146" t="s">
        <v>186</v>
      </c>
      <c r="K40" s="144" t="s">
        <v>194</v>
      </c>
      <c r="L40" s="165">
        <v>44825</v>
      </c>
      <c r="M40" s="181" t="s">
        <v>24</v>
      </c>
    </row>
    <row r="41" spans="1:13" ht="16">
      <c r="A41" s="198" t="s">
        <v>29</v>
      </c>
      <c r="B41" s="199" t="s">
        <v>29</v>
      </c>
      <c r="C41" s="199" t="s">
        <v>29</v>
      </c>
      <c r="D41" s="199" t="s">
        <v>52</v>
      </c>
      <c r="E41" s="199" t="s">
        <v>19</v>
      </c>
      <c r="F41" s="199">
        <v>22.721</v>
      </c>
      <c r="G41" s="199" t="s">
        <v>29</v>
      </c>
      <c r="H41" s="206" t="s">
        <v>29</v>
      </c>
      <c r="J41" s="211"/>
      <c r="K41" s="210"/>
      <c r="L41" s="186"/>
    </row>
    <row r="42" spans="1:13" ht="16">
      <c r="A42" s="68" t="s">
        <v>197</v>
      </c>
      <c r="B42" s="66" t="s">
        <v>198</v>
      </c>
      <c r="C42" s="66" t="s">
        <v>15</v>
      </c>
      <c r="D42" s="66" t="s">
        <v>114</v>
      </c>
      <c r="E42" s="66" t="s">
        <v>17</v>
      </c>
      <c r="F42" s="66">
        <v>17.992000000000001</v>
      </c>
      <c r="G42" s="66">
        <v>0.85880668299999996</v>
      </c>
      <c r="H42" s="276">
        <v>-0.156</v>
      </c>
      <c r="I42" s="55" t="s">
        <v>123</v>
      </c>
      <c r="J42" s="211"/>
      <c r="K42" s="210"/>
      <c r="L42" s="186"/>
    </row>
    <row r="43" spans="1:13" ht="16">
      <c r="A43" s="70" t="s">
        <v>29</v>
      </c>
      <c r="B43" s="65" t="s">
        <v>29</v>
      </c>
      <c r="C43" s="65" t="s">
        <v>29</v>
      </c>
      <c r="D43" s="65" t="s">
        <v>114</v>
      </c>
      <c r="E43" s="65" t="s">
        <v>19</v>
      </c>
      <c r="F43" s="65">
        <v>20.95</v>
      </c>
      <c r="G43" s="65" t="s">
        <v>29</v>
      </c>
      <c r="H43" s="65" t="s">
        <v>29</v>
      </c>
      <c r="J43" s="211"/>
      <c r="K43" s="210"/>
      <c r="L43" s="186"/>
    </row>
    <row r="44" spans="1:13" ht="16">
      <c r="A44" s="212"/>
      <c r="B44" s="212"/>
      <c r="C44" s="212"/>
      <c r="D44" s="212"/>
      <c r="E44" s="212"/>
      <c r="F44" s="212"/>
      <c r="G44" s="212"/>
      <c r="H44" s="213"/>
      <c r="J44" s="89" t="s">
        <v>186</v>
      </c>
      <c r="K44" s="89" t="s">
        <v>199</v>
      </c>
      <c r="L44" s="165">
        <v>44839</v>
      </c>
      <c r="M44" s="214" t="s">
        <v>24</v>
      </c>
    </row>
    <row r="45" spans="1:13" ht="16">
      <c r="A45" s="212"/>
      <c r="B45" s="212"/>
      <c r="C45" s="212"/>
      <c r="D45" s="212"/>
      <c r="E45" s="212"/>
      <c r="F45" s="212"/>
      <c r="G45" s="212"/>
      <c r="H45" s="213"/>
      <c r="J45" s="211"/>
      <c r="K45" s="210"/>
      <c r="L45" s="186"/>
    </row>
    <row r="46" spans="1:13" ht="16">
      <c r="A46" s="212"/>
      <c r="B46" s="212"/>
      <c r="C46" s="212"/>
      <c r="D46" s="212"/>
      <c r="E46" s="212"/>
      <c r="F46" s="212"/>
      <c r="G46" s="212"/>
      <c r="H46" s="213"/>
      <c r="J46" s="211"/>
      <c r="K46" s="210"/>
      <c r="L46" s="186"/>
    </row>
    <row r="47" spans="1:13" ht="16">
      <c r="A47" s="212"/>
      <c r="B47" s="212"/>
      <c r="C47" s="212"/>
      <c r="D47" s="212"/>
      <c r="E47" s="212"/>
      <c r="F47" s="212"/>
      <c r="G47" s="212"/>
      <c r="H47" s="213"/>
      <c r="J47" s="211"/>
      <c r="K47" s="210"/>
      <c r="L47" s="186"/>
    </row>
    <row r="48" spans="1:13" s="122" customFormat="1" ht="16">
      <c r="C48" s="126"/>
      <c r="F48" s="126"/>
      <c r="H48" s="126"/>
      <c r="J48" s="126"/>
      <c r="K48" s="126"/>
      <c r="L48" s="126"/>
      <c r="M48" s="126"/>
    </row>
    <row r="49" spans="1:13" ht="16">
      <c r="A49" s="4" t="s">
        <v>200</v>
      </c>
      <c r="B49" s="4" t="s">
        <v>201</v>
      </c>
      <c r="C49" s="4" t="s">
        <v>38</v>
      </c>
      <c r="D49" s="4" t="s">
        <v>202</v>
      </c>
      <c r="E49" s="4" t="s">
        <v>17</v>
      </c>
      <c r="F49" s="4">
        <v>15.644</v>
      </c>
      <c r="G49" s="3">
        <f t="shared" ref="G49" si="8">F49/F50</f>
        <v>0.74995206136145731</v>
      </c>
      <c r="H49" s="189">
        <f t="shared" ref="H49" si="9">(G49-0.94)/0.52</f>
        <v>-0.36547680507412045</v>
      </c>
      <c r="I49" s="55" t="s">
        <v>203</v>
      </c>
    </row>
    <row r="50" spans="1:13" ht="16">
      <c r="A50" s="4"/>
      <c r="B50" s="4"/>
      <c r="C50" s="4"/>
      <c r="D50" s="4" t="s">
        <v>202</v>
      </c>
      <c r="E50" s="4" t="s">
        <v>19</v>
      </c>
      <c r="F50" s="4">
        <v>20.86</v>
      </c>
      <c r="G50" s="3"/>
      <c r="H50" s="189"/>
    </row>
    <row r="51" spans="1:13" ht="16">
      <c r="A51" s="4" t="s">
        <v>200</v>
      </c>
      <c r="B51" s="4" t="s">
        <v>204</v>
      </c>
      <c r="C51" s="4" t="s">
        <v>21</v>
      </c>
      <c r="D51" s="4" t="s">
        <v>205</v>
      </c>
      <c r="E51" s="4" t="s">
        <v>17</v>
      </c>
      <c r="F51" s="4">
        <v>16.966000000000001</v>
      </c>
      <c r="G51" s="3">
        <f t="shared" ref="G51" si="10">F51/F52</f>
        <v>0.65836243694218088</v>
      </c>
      <c r="H51" s="189">
        <f t="shared" ref="H51" si="11">(G51-0.94)/0.52</f>
        <v>-0.54161069818811358</v>
      </c>
      <c r="I51" s="55" t="s">
        <v>203</v>
      </c>
      <c r="J51" s="190" t="s">
        <v>206</v>
      </c>
      <c r="K51" s="225" t="s">
        <v>207</v>
      </c>
      <c r="L51" s="165">
        <v>44825</v>
      </c>
      <c r="M51" s="214" t="s">
        <v>24</v>
      </c>
    </row>
    <row r="52" spans="1:13" ht="16">
      <c r="A52" s="4"/>
      <c r="B52" s="4"/>
      <c r="C52" s="4"/>
      <c r="D52" s="4" t="s">
        <v>205</v>
      </c>
      <c r="E52" s="4" t="s">
        <v>19</v>
      </c>
      <c r="F52" s="4">
        <v>25.77</v>
      </c>
      <c r="G52" s="3"/>
      <c r="H52" s="189"/>
    </row>
    <row r="53" spans="1:13" ht="16"/>
    <row r="54" spans="1:13" ht="16"/>
    <row r="55" spans="1:13" ht="16">
      <c r="A55" s="198" t="s">
        <v>208</v>
      </c>
      <c r="B55" s="199" t="s">
        <v>201</v>
      </c>
      <c r="C55" s="199" t="s">
        <v>15</v>
      </c>
      <c r="D55" s="199" t="s">
        <v>55</v>
      </c>
      <c r="E55" s="199" t="s">
        <v>17</v>
      </c>
      <c r="F55" s="199">
        <v>19.628</v>
      </c>
      <c r="G55" s="199">
        <v>0.89736204500000005</v>
      </c>
      <c r="H55" s="235">
        <v>-8.2000000000000003E-2</v>
      </c>
      <c r="I55" s="55" t="s">
        <v>28</v>
      </c>
    </row>
    <row r="56" spans="1:13" ht="16">
      <c r="A56" s="198" t="s">
        <v>29</v>
      </c>
      <c r="B56" s="199" t="s">
        <v>29</v>
      </c>
      <c r="C56" s="199" t="s">
        <v>29</v>
      </c>
      <c r="D56" s="199" t="s">
        <v>55</v>
      </c>
      <c r="E56" s="199" t="s">
        <v>19</v>
      </c>
      <c r="F56" s="199">
        <v>21.873000000000001</v>
      </c>
      <c r="G56" s="199" t="s">
        <v>29</v>
      </c>
      <c r="H56" s="199" t="s">
        <v>29</v>
      </c>
    </row>
    <row r="57" spans="1:13" ht="16">
      <c r="A57" s="198" t="s">
        <v>208</v>
      </c>
      <c r="B57" s="199" t="s">
        <v>209</v>
      </c>
      <c r="C57" s="199" t="s">
        <v>30</v>
      </c>
      <c r="D57" s="199" t="s">
        <v>182</v>
      </c>
      <c r="E57" s="199" t="s">
        <v>17</v>
      </c>
      <c r="F57" s="199">
        <v>17.178000000000001</v>
      </c>
      <c r="G57" s="199">
        <v>0.67808787000000004</v>
      </c>
      <c r="H57" s="235">
        <v>-0.504</v>
      </c>
      <c r="I57" s="55" t="s">
        <v>28</v>
      </c>
      <c r="J57" s="4" t="s">
        <v>206</v>
      </c>
      <c r="K57" s="224" t="s">
        <v>208</v>
      </c>
      <c r="L57" s="165">
        <v>44859</v>
      </c>
      <c r="M57" s="214" t="s">
        <v>24</v>
      </c>
    </row>
    <row r="58" spans="1:13" ht="16">
      <c r="A58" s="198" t="s">
        <v>29</v>
      </c>
      <c r="B58" s="199" t="s">
        <v>29</v>
      </c>
      <c r="C58" s="199" t="s">
        <v>29</v>
      </c>
      <c r="D58" s="199" t="s">
        <v>182</v>
      </c>
      <c r="E58" s="199" t="s">
        <v>19</v>
      </c>
      <c r="F58" s="199">
        <v>25.332999999999998</v>
      </c>
      <c r="G58" s="199" t="s">
        <v>29</v>
      </c>
      <c r="H58" s="199" t="s">
        <v>29</v>
      </c>
    </row>
    <row r="59" spans="1:13" ht="16">
      <c r="A59" s="198" t="s">
        <v>208</v>
      </c>
      <c r="B59" s="199" t="s">
        <v>210</v>
      </c>
      <c r="C59" s="199" t="s">
        <v>33</v>
      </c>
      <c r="D59" s="199" t="s">
        <v>185</v>
      </c>
      <c r="E59" s="199" t="s">
        <v>17</v>
      </c>
      <c r="F59" s="199">
        <v>17.25</v>
      </c>
      <c r="G59" s="199">
        <v>0.73837856300000004</v>
      </c>
      <c r="H59" s="235">
        <v>-0.38800000000000001</v>
      </c>
      <c r="I59" s="55" t="s">
        <v>28</v>
      </c>
    </row>
    <row r="60" spans="1:13" ht="16">
      <c r="A60" s="198" t="s">
        <v>29</v>
      </c>
      <c r="B60" s="199" t="s">
        <v>29</v>
      </c>
      <c r="C60" s="199" t="s">
        <v>29</v>
      </c>
      <c r="D60" s="199" t="s">
        <v>185</v>
      </c>
      <c r="E60" s="199" t="s">
        <v>19</v>
      </c>
      <c r="F60" s="199">
        <v>23.361999999999998</v>
      </c>
      <c r="G60" s="199" t="s">
        <v>29</v>
      </c>
      <c r="H60" s="199" t="s">
        <v>29</v>
      </c>
    </row>
    <row r="61" spans="1:13" s="122" customFormat="1" ht="16">
      <c r="C61" s="126"/>
      <c r="F61" s="126"/>
      <c r="H61" s="126"/>
      <c r="J61" s="126"/>
      <c r="K61" s="126"/>
      <c r="L61" s="126"/>
      <c r="M61" s="126"/>
    </row>
    <row r="62" spans="1:13" ht="16">
      <c r="A62" s="198" t="s">
        <v>211</v>
      </c>
      <c r="B62" s="199" t="s">
        <v>212</v>
      </c>
      <c r="C62" s="199" t="s">
        <v>190</v>
      </c>
      <c r="D62" s="199" t="s">
        <v>31</v>
      </c>
      <c r="E62" s="199" t="s">
        <v>17</v>
      </c>
      <c r="F62" s="199">
        <v>17.038</v>
      </c>
      <c r="G62" s="199">
        <v>0.70647261299999997</v>
      </c>
      <c r="H62" s="205">
        <v>-0.44900000000000001</v>
      </c>
      <c r="I62" s="55" t="s">
        <v>191</v>
      </c>
    </row>
    <row r="63" spans="1:13" ht="16">
      <c r="A63" s="198" t="s">
        <v>29</v>
      </c>
      <c r="B63" s="199" t="s">
        <v>29</v>
      </c>
      <c r="C63" s="199" t="s">
        <v>29</v>
      </c>
      <c r="D63" s="199" t="s">
        <v>31</v>
      </c>
      <c r="E63" s="199" t="s">
        <v>19</v>
      </c>
      <c r="F63" s="199">
        <v>24.117000000000001</v>
      </c>
      <c r="G63" s="199" t="s">
        <v>29</v>
      </c>
      <c r="H63" s="206" t="s">
        <v>29</v>
      </c>
    </row>
    <row r="64" spans="1:13" ht="16">
      <c r="A64" s="198" t="s">
        <v>211</v>
      </c>
      <c r="B64" s="199" t="s">
        <v>213</v>
      </c>
      <c r="C64" s="199" t="s">
        <v>214</v>
      </c>
      <c r="D64" s="199" t="s">
        <v>34</v>
      </c>
      <c r="E64" s="199" t="s">
        <v>17</v>
      </c>
      <c r="F64" s="199">
        <v>17.170000000000002</v>
      </c>
      <c r="G64" s="199">
        <v>0.72294736800000003</v>
      </c>
      <c r="H64" s="205">
        <v>-0.41699999999999998</v>
      </c>
      <c r="I64" s="55" t="s">
        <v>191</v>
      </c>
      <c r="J64" s="191" t="s">
        <v>215</v>
      </c>
      <c r="K64" s="226" t="s">
        <v>216</v>
      </c>
      <c r="L64" s="165">
        <v>44825</v>
      </c>
      <c r="M64" s="214" t="s">
        <v>24</v>
      </c>
    </row>
    <row r="65" spans="1:13" ht="16">
      <c r="A65" s="198" t="s">
        <v>29</v>
      </c>
      <c r="B65" s="199" t="s">
        <v>29</v>
      </c>
      <c r="C65" s="199" t="s">
        <v>29</v>
      </c>
      <c r="D65" s="199" t="s">
        <v>34</v>
      </c>
      <c r="E65" s="199" t="s">
        <v>19</v>
      </c>
      <c r="F65" s="199">
        <v>23.75</v>
      </c>
      <c r="G65" s="199" t="s">
        <v>29</v>
      </c>
      <c r="H65" s="206" t="s">
        <v>29</v>
      </c>
    </row>
    <row r="66" spans="1:13" ht="16">
      <c r="A66" s="198" t="s">
        <v>211</v>
      </c>
      <c r="B66" s="258" t="s">
        <v>217</v>
      </c>
      <c r="C66" s="199" t="s">
        <v>196</v>
      </c>
      <c r="D66" s="199" t="s">
        <v>105</v>
      </c>
      <c r="E66" s="199" t="s">
        <v>17</v>
      </c>
      <c r="F66" s="199">
        <v>16.613</v>
      </c>
      <c r="G66" s="199">
        <v>0.66486573000000004</v>
      </c>
      <c r="H66" s="205">
        <v>-0.52900000000000003</v>
      </c>
      <c r="I66" s="55" t="s">
        <v>191</v>
      </c>
    </row>
    <row r="67" spans="1:13" ht="15.75" customHeight="1">
      <c r="A67" s="198" t="s">
        <v>29</v>
      </c>
      <c r="B67" s="199" t="s">
        <v>29</v>
      </c>
      <c r="C67" s="199" t="s">
        <v>29</v>
      </c>
      <c r="D67" s="199" t="s">
        <v>105</v>
      </c>
      <c r="E67" s="199" t="s">
        <v>19</v>
      </c>
      <c r="F67" s="199">
        <v>24.986999999999998</v>
      </c>
      <c r="G67" s="199" t="s">
        <v>29</v>
      </c>
      <c r="H67" s="206" t="s">
        <v>29</v>
      </c>
      <c r="J67" s="4" t="s">
        <v>218</v>
      </c>
      <c r="K67" s="224" t="s">
        <v>216</v>
      </c>
      <c r="L67" s="165">
        <v>44859</v>
      </c>
      <c r="M67" s="214" t="s">
        <v>24</v>
      </c>
    </row>
    <row r="68" spans="1:13" ht="15.75" customHeight="1">
      <c r="A68" s="68" t="s">
        <v>219</v>
      </c>
      <c r="B68" s="66" t="s">
        <v>220</v>
      </c>
      <c r="C68" s="66" t="s">
        <v>38</v>
      </c>
      <c r="D68" s="66" t="s">
        <v>117</v>
      </c>
      <c r="E68" s="66" t="s">
        <v>17</v>
      </c>
      <c r="F68" s="66">
        <v>19.661999999999999</v>
      </c>
      <c r="G68" s="66">
        <v>0.90859519399999999</v>
      </c>
      <c r="H68" s="276">
        <v>-0.06</v>
      </c>
      <c r="I68" s="55" t="s">
        <v>123</v>
      </c>
    </row>
    <row r="69" spans="1:13" ht="15.75" customHeight="1">
      <c r="A69" s="70" t="s">
        <v>29</v>
      </c>
      <c r="B69" s="65" t="s">
        <v>29</v>
      </c>
      <c r="C69" s="65" t="s">
        <v>29</v>
      </c>
      <c r="D69" s="65" t="s">
        <v>117</v>
      </c>
      <c r="E69" s="65" t="s">
        <v>19</v>
      </c>
      <c r="F69" s="65">
        <v>21.64</v>
      </c>
      <c r="G69" s="65" t="s">
        <v>29</v>
      </c>
      <c r="H69" s="65" t="s">
        <v>29</v>
      </c>
    </row>
    <row r="70" spans="1:13" ht="15.75" customHeight="1">
      <c r="A70" s="303" t="s">
        <v>221</v>
      </c>
      <c r="B70" s="66" t="s">
        <v>222</v>
      </c>
      <c r="C70" s="66" t="s">
        <v>38</v>
      </c>
      <c r="D70" s="66" t="s">
        <v>223</v>
      </c>
      <c r="E70" s="66" t="s">
        <v>17</v>
      </c>
      <c r="F70" s="66">
        <v>16.349</v>
      </c>
      <c r="G70" s="66">
        <v>0.72101433299999995</v>
      </c>
      <c r="H70" s="247">
        <v>-0.42099999999999999</v>
      </c>
      <c r="I70" s="72" t="s">
        <v>224</v>
      </c>
    </row>
    <row r="71" spans="1:13" ht="15.75" customHeight="1">
      <c r="A71" s="304" t="s">
        <v>29</v>
      </c>
      <c r="B71" s="65" t="s">
        <v>29</v>
      </c>
      <c r="C71" s="65" t="s">
        <v>29</v>
      </c>
      <c r="D71" s="65" t="s">
        <v>223</v>
      </c>
      <c r="E71" s="65" t="s">
        <v>19</v>
      </c>
      <c r="F71" s="65">
        <v>22.675000000000001</v>
      </c>
      <c r="G71" s="65" t="s">
        <v>29</v>
      </c>
      <c r="H71" s="65" t="s">
        <v>29</v>
      </c>
      <c r="I71" s="97"/>
    </row>
    <row r="72" spans="1:13" ht="15.75" customHeight="1">
      <c r="A72" s="304" t="s">
        <v>221</v>
      </c>
      <c r="B72" s="65" t="s">
        <v>225</v>
      </c>
      <c r="C72" s="65" t="s">
        <v>226</v>
      </c>
      <c r="D72" s="65" t="s">
        <v>89</v>
      </c>
      <c r="E72" s="65" t="s">
        <v>17</v>
      </c>
      <c r="F72" s="65">
        <v>15.188000000000001</v>
      </c>
      <c r="G72" s="65">
        <v>0.63887603599999998</v>
      </c>
      <c r="H72" s="247">
        <v>-0.57899999999999996</v>
      </c>
      <c r="I72" s="72" t="s">
        <v>224</v>
      </c>
      <c r="J72" s="89" t="s">
        <v>215</v>
      </c>
      <c r="K72" s="89" t="s">
        <v>221</v>
      </c>
      <c r="L72" s="165">
        <v>44907</v>
      </c>
      <c r="M72" s="181" t="s">
        <v>24</v>
      </c>
    </row>
    <row r="73" spans="1:13" ht="15.75" customHeight="1">
      <c r="A73" s="304" t="s">
        <v>29</v>
      </c>
      <c r="B73" s="65" t="s">
        <v>29</v>
      </c>
      <c r="C73" s="65" t="s">
        <v>29</v>
      </c>
      <c r="D73" s="65" t="s">
        <v>89</v>
      </c>
      <c r="E73" s="65" t="s">
        <v>19</v>
      </c>
      <c r="F73" s="65">
        <v>23.773</v>
      </c>
      <c r="G73" s="65" t="s">
        <v>29</v>
      </c>
      <c r="H73" s="65" t="s">
        <v>29</v>
      </c>
      <c r="I73" s="97"/>
    </row>
    <row r="74" spans="1:13" ht="15.75" customHeight="1">
      <c r="A74" s="304" t="s">
        <v>221</v>
      </c>
      <c r="B74" s="65" t="s">
        <v>227</v>
      </c>
      <c r="C74" s="65" t="s">
        <v>45</v>
      </c>
      <c r="D74" s="65" t="s">
        <v>108</v>
      </c>
      <c r="E74" s="65" t="s">
        <v>17</v>
      </c>
      <c r="F74" s="65">
        <v>14.635999999999999</v>
      </c>
      <c r="G74" s="65">
        <v>0.68791126199999997</v>
      </c>
      <c r="H74" s="247">
        <v>-0.48499999999999999</v>
      </c>
      <c r="I74" s="72" t="s">
        <v>224</v>
      </c>
      <c r="J74" s="89" t="s">
        <v>228</v>
      </c>
      <c r="K74" s="89" t="s">
        <v>221</v>
      </c>
      <c r="L74" s="165">
        <v>44907</v>
      </c>
      <c r="M74" s="181" t="s">
        <v>24</v>
      </c>
    </row>
    <row r="75" spans="1:13" ht="15.75" customHeight="1">
      <c r="A75" s="304" t="s">
        <v>29</v>
      </c>
      <c r="B75" s="65" t="s">
        <v>29</v>
      </c>
      <c r="C75" s="65" t="s">
        <v>29</v>
      </c>
      <c r="D75" s="65" t="s">
        <v>108</v>
      </c>
      <c r="E75" s="65" t="s">
        <v>19</v>
      </c>
      <c r="F75" s="65">
        <v>21.276</v>
      </c>
      <c r="G75" s="65" t="s">
        <v>29</v>
      </c>
      <c r="H75" s="65" t="s">
        <v>29</v>
      </c>
      <c r="I75" s="97"/>
    </row>
    <row r="76" spans="1:13" ht="15.75" customHeight="1">
      <c r="A76" s="3" t="s">
        <v>229</v>
      </c>
      <c r="B76" s="3" t="s">
        <v>230</v>
      </c>
      <c r="C76" s="3" t="s">
        <v>45</v>
      </c>
      <c r="D76" s="3" t="s">
        <v>231</v>
      </c>
      <c r="E76" s="3" t="s">
        <v>17</v>
      </c>
      <c r="F76" s="3">
        <v>16.492000000000001</v>
      </c>
      <c r="G76" s="3">
        <f t="shared" ref="G76" si="12">F76/F77</f>
        <v>0.70313366020038381</v>
      </c>
      <c r="H76" s="308">
        <f t="shared" ref="H76" si="13">(G76-0.94)/0.52</f>
        <v>-0.45551219192233872</v>
      </c>
      <c r="I76" s="55" t="s">
        <v>232</v>
      </c>
    </row>
    <row r="77" spans="1:13" ht="15.75" customHeight="1">
      <c r="A77" s="7"/>
      <c r="B77" s="7"/>
      <c r="C77" s="7"/>
      <c r="D77" s="3" t="s">
        <v>231</v>
      </c>
      <c r="E77" s="3" t="s">
        <v>19</v>
      </c>
      <c r="F77" s="3">
        <v>23.454999999999998</v>
      </c>
      <c r="G77" s="3"/>
      <c r="H77" s="308"/>
    </row>
    <row r="78" spans="1:13" s="122" customFormat="1" ht="16">
      <c r="C78" s="126"/>
      <c r="F78" s="126"/>
      <c r="H78" s="126"/>
      <c r="J78" s="126"/>
      <c r="K78" s="126"/>
      <c r="L78" s="126"/>
      <c r="M78" s="126"/>
    </row>
    <row r="91" spans="1:13" s="122" customFormat="1" ht="16">
      <c r="C91" s="126"/>
      <c r="F91" s="126"/>
      <c r="H91" s="126"/>
      <c r="J91" s="126"/>
      <c r="K91" s="126"/>
      <c r="L91" s="126"/>
      <c r="M91" s="126"/>
    </row>
    <row r="92" spans="1:13" ht="17">
      <c r="A92" s="216" t="s">
        <v>233</v>
      </c>
      <c r="B92" s="217" t="s">
        <v>234</v>
      </c>
      <c r="C92" s="217" t="s">
        <v>15</v>
      </c>
      <c r="D92" s="193" t="s">
        <v>31</v>
      </c>
      <c r="E92" s="193" t="s">
        <v>17</v>
      </c>
      <c r="F92" s="193">
        <v>17.207999999999998</v>
      </c>
      <c r="G92" s="193">
        <v>0.71553910799999998</v>
      </c>
      <c r="H92" s="218">
        <v>-0.432</v>
      </c>
      <c r="I92" s="55" t="s">
        <v>69</v>
      </c>
    </row>
    <row r="93" spans="1:13" ht="17">
      <c r="A93" s="192" t="s">
        <v>29</v>
      </c>
      <c r="B93" s="193" t="s">
        <v>29</v>
      </c>
      <c r="C93" s="193" t="s">
        <v>29</v>
      </c>
      <c r="D93" s="193" t="s">
        <v>31</v>
      </c>
      <c r="E93" s="193" t="s">
        <v>19</v>
      </c>
      <c r="F93" s="193">
        <v>24.048999999999999</v>
      </c>
      <c r="G93" s="193" t="s">
        <v>29</v>
      </c>
      <c r="H93" s="219" t="s">
        <v>29</v>
      </c>
    </row>
    <row r="94" spans="1:13" ht="17">
      <c r="A94" s="216" t="s">
        <v>233</v>
      </c>
      <c r="B94" s="217" t="s">
        <v>235</v>
      </c>
      <c r="C94" s="217" t="s">
        <v>30</v>
      </c>
      <c r="D94" s="193" t="s">
        <v>34</v>
      </c>
      <c r="E94" s="193" t="s">
        <v>17</v>
      </c>
      <c r="F94" s="193">
        <v>16.995000000000001</v>
      </c>
      <c r="G94" s="193">
        <v>0.60407336300000003</v>
      </c>
      <c r="H94" s="218">
        <v>-0.64600000000000002</v>
      </c>
      <c r="I94" s="55" t="s">
        <v>69</v>
      </c>
      <c r="J94" s="89" t="s">
        <v>236</v>
      </c>
      <c r="K94" s="89" t="s">
        <v>233</v>
      </c>
      <c r="L94" s="165">
        <v>44839</v>
      </c>
      <c r="M94" s="181" t="s">
        <v>24</v>
      </c>
    </row>
    <row r="95" spans="1:13" ht="17">
      <c r="A95" s="192" t="s">
        <v>29</v>
      </c>
      <c r="B95" s="193" t="s">
        <v>29</v>
      </c>
      <c r="C95" s="193" t="s">
        <v>29</v>
      </c>
      <c r="D95" s="193" t="s">
        <v>34</v>
      </c>
      <c r="E95" s="193" t="s">
        <v>19</v>
      </c>
      <c r="F95" s="193">
        <v>28.134</v>
      </c>
      <c r="G95" s="193" t="s">
        <v>29</v>
      </c>
      <c r="H95" s="219" t="s">
        <v>29</v>
      </c>
    </row>
    <row r="96" spans="1:13" ht="35">
      <c r="A96" s="216" t="s">
        <v>233</v>
      </c>
      <c r="B96" s="217" t="s">
        <v>237</v>
      </c>
      <c r="C96" s="217" t="s">
        <v>33</v>
      </c>
      <c r="D96" s="193" t="s">
        <v>105</v>
      </c>
      <c r="E96" s="193" t="s">
        <v>17</v>
      </c>
      <c r="F96" s="193">
        <v>16.925000000000001</v>
      </c>
      <c r="G96" s="193">
        <v>0.62592455599999997</v>
      </c>
      <c r="H96" s="218">
        <v>-0.60399999999999998</v>
      </c>
      <c r="I96" s="55" t="s">
        <v>69</v>
      </c>
      <c r="J96" s="292" t="s">
        <v>238</v>
      </c>
      <c r="K96" s="89" t="s">
        <v>239</v>
      </c>
      <c r="L96" s="165">
        <v>44966</v>
      </c>
      <c r="M96" s="214" t="s">
        <v>24</v>
      </c>
    </row>
    <row r="97" spans="1:13" ht="17">
      <c r="A97" s="192" t="s">
        <v>29</v>
      </c>
      <c r="B97" s="193" t="s">
        <v>29</v>
      </c>
      <c r="C97" s="193" t="s">
        <v>29</v>
      </c>
      <c r="D97" s="193" t="s">
        <v>105</v>
      </c>
      <c r="E97" s="193" t="s">
        <v>19</v>
      </c>
      <c r="F97" s="193">
        <v>27.04</v>
      </c>
      <c r="G97" s="193" t="s">
        <v>29</v>
      </c>
      <c r="H97" s="219" t="s">
        <v>29</v>
      </c>
    </row>
    <row r="98" spans="1:13" ht="15.75" customHeight="1">
      <c r="A98" s="3" t="s">
        <v>240</v>
      </c>
      <c r="B98" s="3" t="s">
        <v>241</v>
      </c>
      <c r="C98" s="3" t="s">
        <v>45</v>
      </c>
      <c r="D98" s="3" t="s">
        <v>242</v>
      </c>
      <c r="E98" s="3" t="s">
        <v>17</v>
      </c>
      <c r="F98" s="3">
        <v>19.042000000000002</v>
      </c>
      <c r="G98" s="3">
        <f t="shared" ref="G98" si="14">F98/F99</f>
        <v>0.79464173934816174</v>
      </c>
      <c r="H98" s="308">
        <f t="shared" ref="H98" si="15">(G98-0.94)/0.52</f>
        <v>-0.27953511663815039</v>
      </c>
      <c r="I98" s="55" t="s">
        <v>232</v>
      </c>
    </row>
    <row r="99" spans="1:13" ht="15.75" customHeight="1">
      <c r="A99" s="7"/>
      <c r="B99" s="7"/>
      <c r="C99" s="7"/>
      <c r="D99" s="3" t="s">
        <v>242</v>
      </c>
      <c r="E99" s="3" t="s">
        <v>19</v>
      </c>
      <c r="F99" s="3">
        <v>23.963000000000001</v>
      </c>
      <c r="G99" s="3"/>
      <c r="H99" s="308"/>
    </row>
    <row r="102" spans="1:13" ht="15.75" customHeight="1">
      <c r="A102" s="3" t="s">
        <v>243</v>
      </c>
      <c r="B102" s="3" t="s">
        <v>244</v>
      </c>
      <c r="C102" s="3" t="s">
        <v>38</v>
      </c>
      <c r="D102" s="4" t="s">
        <v>68</v>
      </c>
      <c r="E102" s="4" t="s">
        <v>17</v>
      </c>
      <c r="F102" s="4">
        <v>16.43</v>
      </c>
      <c r="G102" s="3">
        <f>F102/F103</f>
        <v>0.76596736596736603</v>
      </c>
      <c r="H102" s="189">
        <f>(G102-0.94)/0.52</f>
        <v>-0.33467814237044985</v>
      </c>
      <c r="I102" s="55" t="s">
        <v>245</v>
      </c>
    </row>
    <row r="103" spans="1:13" ht="15.75" customHeight="1">
      <c r="A103" s="4"/>
      <c r="B103" s="4"/>
      <c r="C103" s="4"/>
      <c r="D103" s="4" t="s">
        <v>68</v>
      </c>
      <c r="E103" s="4" t="s">
        <v>19</v>
      </c>
      <c r="F103" s="4">
        <v>21.45</v>
      </c>
      <c r="G103" s="3"/>
      <c r="H103" s="189"/>
    </row>
    <row r="104" spans="1:13" ht="15.75" customHeight="1">
      <c r="A104" s="3" t="s">
        <v>243</v>
      </c>
      <c r="B104" s="3" t="s">
        <v>246</v>
      </c>
      <c r="C104" s="3" t="s">
        <v>21</v>
      </c>
      <c r="D104" s="4" t="s">
        <v>71</v>
      </c>
      <c r="E104" s="4" t="s">
        <v>17</v>
      </c>
      <c r="F104" s="4">
        <v>18.071999999999999</v>
      </c>
      <c r="G104" s="3">
        <f t="shared" ref="G104:G106" si="16">F104/F105</f>
        <v>0.93836647801028084</v>
      </c>
      <c r="H104" s="189">
        <f t="shared" ref="H104:H106" si="17">(G104-0.94)/0.52</f>
        <v>-3.1413884417675212E-3</v>
      </c>
      <c r="I104" s="55" t="s">
        <v>245</v>
      </c>
      <c r="J104" s="292" t="s">
        <v>247</v>
      </c>
      <c r="K104" s="89" t="s">
        <v>243</v>
      </c>
      <c r="L104" s="165">
        <v>45056</v>
      </c>
      <c r="M104" s="214" t="s">
        <v>24</v>
      </c>
    </row>
    <row r="105" spans="1:13" ht="15.75" customHeight="1">
      <c r="A105" s="4"/>
      <c r="B105" s="4"/>
      <c r="C105" s="4"/>
      <c r="D105" s="4" t="s">
        <v>71</v>
      </c>
      <c r="E105" s="4" t="s">
        <v>19</v>
      </c>
      <c r="F105" s="4">
        <v>19.259</v>
      </c>
      <c r="G105" s="3"/>
      <c r="H105" s="189"/>
    </row>
    <row r="106" spans="1:13" ht="15.75" customHeight="1">
      <c r="A106" s="3" t="s">
        <v>243</v>
      </c>
      <c r="B106" s="3" t="s">
        <v>248</v>
      </c>
      <c r="C106" s="3" t="s">
        <v>45</v>
      </c>
      <c r="D106" s="4" t="s">
        <v>74</v>
      </c>
      <c r="E106" s="4" t="s">
        <v>17</v>
      </c>
      <c r="F106" s="4">
        <v>20.995999999999999</v>
      </c>
      <c r="G106" s="3">
        <f t="shared" si="16"/>
        <v>1.1907894736842104</v>
      </c>
      <c r="H106" s="189">
        <f t="shared" si="17"/>
        <v>0.4822874493927124</v>
      </c>
      <c r="I106" s="55" t="s">
        <v>245</v>
      </c>
    </row>
    <row r="107" spans="1:13" ht="15.75" customHeight="1">
      <c r="A107" s="4"/>
      <c r="B107" s="4"/>
      <c r="C107" s="4"/>
      <c r="D107" s="4" t="s">
        <v>74</v>
      </c>
      <c r="E107" s="4" t="s">
        <v>19</v>
      </c>
      <c r="F107" s="4">
        <v>17.632000000000001</v>
      </c>
      <c r="G107" s="3"/>
      <c r="H107" s="189"/>
    </row>
    <row r="108" spans="1:13" s="122" customFormat="1" ht="16">
      <c r="C108" s="126"/>
      <c r="F108" s="126"/>
      <c r="H108" s="126"/>
      <c r="J108" s="126"/>
      <c r="K108" s="126"/>
      <c r="L108" s="126"/>
      <c r="M108" s="126"/>
    </row>
    <row r="109" spans="1:13" ht="15.75" customHeight="1">
      <c r="A109" s="68" t="s">
        <v>249</v>
      </c>
      <c r="B109" s="66" t="s">
        <v>250</v>
      </c>
      <c r="C109" s="66" t="s">
        <v>38</v>
      </c>
      <c r="D109" s="66" t="s">
        <v>49</v>
      </c>
      <c r="E109" s="66" t="s">
        <v>17</v>
      </c>
      <c r="F109" s="66">
        <v>17.834</v>
      </c>
      <c r="G109" s="66">
        <v>0.82833255900000002</v>
      </c>
      <c r="H109" s="247">
        <v>-0.215</v>
      </c>
      <c r="I109" s="55" t="s">
        <v>131</v>
      </c>
    </row>
    <row r="110" spans="1:13" ht="15.75" customHeight="1">
      <c r="A110" s="70" t="s">
        <v>29</v>
      </c>
      <c r="B110" s="65" t="s">
        <v>29</v>
      </c>
      <c r="C110" s="65" t="s">
        <v>29</v>
      </c>
      <c r="D110" s="65" t="s">
        <v>49</v>
      </c>
      <c r="E110" s="65" t="s">
        <v>19</v>
      </c>
      <c r="F110" s="65">
        <v>21.53</v>
      </c>
      <c r="G110" s="65" t="s">
        <v>29</v>
      </c>
      <c r="H110" s="65" t="s">
        <v>29</v>
      </c>
    </row>
    <row r="111" spans="1:13" ht="16">
      <c r="A111" s="70" t="s">
        <v>249</v>
      </c>
      <c r="B111" s="65" t="s">
        <v>251</v>
      </c>
      <c r="C111" s="65" t="s">
        <v>21</v>
      </c>
      <c r="D111" s="65" t="s">
        <v>52</v>
      </c>
      <c r="E111" s="65" t="s">
        <v>17</v>
      </c>
      <c r="F111" s="65">
        <v>17.056000000000001</v>
      </c>
      <c r="G111" s="65">
        <v>0.80165444600000002</v>
      </c>
      <c r="H111" s="247">
        <v>-0.26600000000000001</v>
      </c>
      <c r="I111" s="55" t="s">
        <v>131</v>
      </c>
      <c r="J111" s="89" t="s">
        <v>252</v>
      </c>
      <c r="K111" s="89" t="s">
        <v>253</v>
      </c>
      <c r="L111" s="165">
        <v>44839</v>
      </c>
      <c r="M111" s="181" t="s">
        <v>24</v>
      </c>
    </row>
    <row r="112" spans="1:13" ht="15.75" customHeight="1">
      <c r="A112" s="70" t="s">
        <v>29</v>
      </c>
      <c r="B112" s="65" t="s">
        <v>29</v>
      </c>
      <c r="C112" s="65" t="s">
        <v>29</v>
      </c>
      <c r="D112" s="65" t="s">
        <v>52</v>
      </c>
      <c r="E112" s="65" t="s">
        <v>19</v>
      </c>
      <c r="F112" s="65">
        <v>21.276</v>
      </c>
      <c r="G112" s="65" t="s">
        <v>29</v>
      </c>
      <c r="H112" s="65" t="s">
        <v>29</v>
      </c>
    </row>
    <row r="113" spans="1:13" ht="15.75" customHeight="1">
      <c r="A113" s="70" t="s">
        <v>249</v>
      </c>
      <c r="B113" s="65" t="s">
        <v>254</v>
      </c>
      <c r="C113" s="65" t="s">
        <v>45</v>
      </c>
      <c r="D113" s="65" t="s">
        <v>55</v>
      </c>
      <c r="E113" s="65" t="s">
        <v>17</v>
      </c>
      <c r="F113" s="65">
        <v>25.277000000000001</v>
      </c>
      <c r="G113" s="65">
        <v>1.1776462910000001</v>
      </c>
      <c r="H113" s="249">
        <v>0.45700000000000002</v>
      </c>
      <c r="I113" s="55" t="s">
        <v>131</v>
      </c>
    </row>
    <row r="114" spans="1:13" ht="15.75" customHeight="1">
      <c r="A114" s="70" t="s">
        <v>29</v>
      </c>
      <c r="B114" s="65" t="s">
        <v>29</v>
      </c>
      <c r="C114" s="65" t="s">
        <v>29</v>
      </c>
      <c r="D114" s="65" t="s">
        <v>55</v>
      </c>
      <c r="E114" s="65" t="s">
        <v>19</v>
      </c>
      <c r="F114" s="65">
        <v>21.463999999999999</v>
      </c>
      <c r="G114" s="65" t="s">
        <v>29</v>
      </c>
      <c r="H114" s="65" t="s">
        <v>29</v>
      </c>
    </row>
    <row r="116" spans="1:13" ht="15.75" customHeight="1">
      <c r="A116" s="68" t="s">
        <v>255</v>
      </c>
      <c r="B116" s="66" t="s">
        <v>250</v>
      </c>
      <c r="C116" s="66" t="s">
        <v>15</v>
      </c>
      <c r="D116" s="66" t="s">
        <v>182</v>
      </c>
      <c r="E116" s="66" t="s">
        <v>17</v>
      </c>
      <c r="F116" s="66">
        <v>16.963999999999999</v>
      </c>
      <c r="G116" s="66">
        <v>0.78839987</v>
      </c>
      <c r="H116" s="247">
        <v>-0.29199999999999998</v>
      </c>
      <c r="I116" s="55" t="s">
        <v>131</v>
      </c>
    </row>
    <row r="117" spans="1:13" ht="15.75" customHeight="1">
      <c r="A117" s="70" t="s">
        <v>29</v>
      </c>
      <c r="B117" s="65" t="s">
        <v>29</v>
      </c>
      <c r="C117" s="65" t="s">
        <v>29</v>
      </c>
      <c r="D117" s="65" t="s">
        <v>182</v>
      </c>
      <c r="E117" s="65" t="s">
        <v>19</v>
      </c>
      <c r="F117" s="65">
        <v>21.516999999999999</v>
      </c>
      <c r="G117" s="65" t="s">
        <v>29</v>
      </c>
      <c r="H117" s="65" t="s">
        <v>29</v>
      </c>
    </row>
    <row r="118" spans="1:13" ht="15.75" customHeight="1">
      <c r="A118" s="70" t="s">
        <v>255</v>
      </c>
      <c r="B118" s="65" t="s">
        <v>251</v>
      </c>
      <c r="C118" s="65" t="s">
        <v>21</v>
      </c>
      <c r="D118" s="65" t="s">
        <v>185</v>
      </c>
      <c r="E118" s="65" t="s">
        <v>17</v>
      </c>
      <c r="F118" s="65">
        <v>18.164000000000001</v>
      </c>
      <c r="G118" s="65">
        <v>1.0233239439999999</v>
      </c>
      <c r="H118" s="249">
        <v>0.16</v>
      </c>
      <c r="I118" s="55" t="s">
        <v>131</v>
      </c>
      <c r="J118" s="89" t="s">
        <v>252</v>
      </c>
      <c r="K118" s="89" t="s">
        <v>255</v>
      </c>
      <c r="L118" s="165">
        <v>44950</v>
      </c>
      <c r="M118" s="181" t="s">
        <v>24</v>
      </c>
    </row>
    <row r="119" spans="1:13" ht="15.75" customHeight="1">
      <c r="A119" s="70" t="s">
        <v>29</v>
      </c>
      <c r="B119" s="65" t="s">
        <v>29</v>
      </c>
      <c r="C119" s="65" t="s">
        <v>29</v>
      </c>
      <c r="D119" s="65" t="s">
        <v>185</v>
      </c>
      <c r="E119" s="65" t="s">
        <v>19</v>
      </c>
      <c r="F119" s="65">
        <v>17.75</v>
      </c>
      <c r="G119" s="65" t="s">
        <v>29</v>
      </c>
      <c r="H119" s="65" t="s">
        <v>29</v>
      </c>
    </row>
    <row r="120" spans="1:13" ht="15.75" customHeight="1">
      <c r="A120" s="70" t="s">
        <v>255</v>
      </c>
      <c r="B120" s="65" t="s">
        <v>254</v>
      </c>
      <c r="C120" s="65" t="s">
        <v>45</v>
      </c>
      <c r="D120" s="65" t="s">
        <v>100</v>
      </c>
      <c r="E120" s="65" t="s">
        <v>17</v>
      </c>
      <c r="F120" s="65">
        <v>29.460999999999999</v>
      </c>
      <c r="G120" s="65">
        <v>1.4651382529999999</v>
      </c>
      <c r="H120" s="249">
        <v>1.01</v>
      </c>
      <c r="I120" s="55" t="s">
        <v>131</v>
      </c>
    </row>
    <row r="121" spans="1:13" ht="15.75" customHeight="1">
      <c r="A121" s="70" t="s">
        <v>29</v>
      </c>
      <c r="B121" s="65" t="s">
        <v>29</v>
      </c>
      <c r="C121" s="65" t="s">
        <v>29</v>
      </c>
      <c r="D121" s="65" t="s">
        <v>100</v>
      </c>
      <c r="E121" s="65" t="s">
        <v>19</v>
      </c>
      <c r="F121" s="65">
        <v>20.108000000000001</v>
      </c>
      <c r="G121" s="65" t="s">
        <v>29</v>
      </c>
      <c r="H121" s="65" t="s">
        <v>29</v>
      </c>
    </row>
    <row r="122" spans="1:13" s="122" customFormat="1" ht="15.75" customHeight="1">
      <c r="C122" s="126"/>
      <c r="F122" s="126"/>
      <c r="H122" s="126"/>
      <c r="J122" s="126"/>
      <c r="K122" s="126"/>
      <c r="L122" s="126"/>
      <c r="M122" s="126"/>
    </row>
    <row r="123" spans="1:13" ht="15.75" customHeight="1">
      <c r="A123" s="68" t="s">
        <v>256</v>
      </c>
      <c r="B123" s="66" t="s">
        <v>257</v>
      </c>
      <c r="C123" s="66" t="s">
        <v>15</v>
      </c>
      <c r="D123" s="66" t="s">
        <v>173</v>
      </c>
      <c r="E123" s="66" t="s">
        <v>17</v>
      </c>
      <c r="F123" s="66">
        <v>17.052</v>
      </c>
      <c r="G123" s="66">
        <v>0.77558446299999995</v>
      </c>
      <c r="H123" s="247">
        <v>-0.316</v>
      </c>
      <c r="I123" s="55" t="s">
        <v>131</v>
      </c>
    </row>
    <row r="124" spans="1:13" ht="15.75" customHeight="1">
      <c r="A124" s="70" t="s">
        <v>29</v>
      </c>
      <c r="B124" s="65" t="s">
        <v>29</v>
      </c>
      <c r="C124" s="65" t="s">
        <v>29</v>
      </c>
      <c r="D124" s="65" t="s">
        <v>173</v>
      </c>
      <c r="E124" s="65" t="s">
        <v>19</v>
      </c>
      <c r="F124" s="65">
        <v>21.986000000000001</v>
      </c>
      <c r="G124" s="65" t="s">
        <v>29</v>
      </c>
      <c r="H124" s="65" t="s">
        <v>29</v>
      </c>
    </row>
    <row r="125" spans="1:13" ht="15.75" customHeight="1">
      <c r="A125" s="70" t="s">
        <v>256</v>
      </c>
      <c r="B125" s="65" t="s">
        <v>258</v>
      </c>
      <c r="C125" s="65" t="s">
        <v>21</v>
      </c>
      <c r="D125" s="65" t="s">
        <v>39</v>
      </c>
      <c r="E125" s="65" t="s">
        <v>17</v>
      </c>
      <c r="F125" s="65">
        <v>17.806000000000001</v>
      </c>
      <c r="G125" s="65">
        <v>0.63615577000000001</v>
      </c>
      <c r="H125" s="247">
        <v>-0.58399999999999996</v>
      </c>
      <c r="I125" s="55" t="s">
        <v>131</v>
      </c>
      <c r="J125" s="89" t="s">
        <v>259</v>
      </c>
      <c r="K125" s="89" t="s">
        <v>260</v>
      </c>
      <c r="L125" s="165">
        <v>44893</v>
      </c>
      <c r="M125" s="181" t="s">
        <v>24</v>
      </c>
    </row>
    <row r="126" spans="1:13" ht="15.75" customHeight="1">
      <c r="A126" s="70" t="s">
        <v>29</v>
      </c>
      <c r="B126" s="65" t="s">
        <v>29</v>
      </c>
      <c r="C126" s="65" t="s">
        <v>29</v>
      </c>
      <c r="D126" s="65" t="s">
        <v>39</v>
      </c>
      <c r="E126" s="65" t="s">
        <v>19</v>
      </c>
      <c r="F126" s="65">
        <v>27.99</v>
      </c>
      <c r="G126" s="65" t="s">
        <v>29</v>
      </c>
      <c r="H126" s="65" t="s">
        <v>29</v>
      </c>
    </row>
    <row r="127" spans="1:13" ht="15.75" customHeight="1">
      <c r="A127" s="70" t="s">
        <v>256</v>
      </c>
      <c r="B127" s="65" t="s">
        <v>261</v>
      </c>
      <c r="C127" s="65" t="s">
        <v>45</v>
      </c>
      <c r="D127" s="65" t="s">
        <v>42</v>
      </c>
      <c r="E127" s="65" t="s">
        <v>17</v>
      </c>
      <c r="F127" s="65">
        <v>16.920000000000002</v>
      </c>
      <c r="G127" s="65">
        <v>0.63068436000000005</v>
      </c>
      <c r="H127" s="247">
        <v>-0.59499999999999997</v>
      </c>
      <c r="I127" s="55" t="s">
        <v>131</v>
      </c>
      <c r="J127" s="89" t="s">
        <v>262</v>
      </c>
      <c r="K127" s="89" t="s">
        <v>263</v>
      </c>
      <c r="L127" s="165">
        <v>44966</v>
      </c>
      <c r="M127" s="181" t="s">
        <v>24</v>
      </c>
    </row>
    <row r="128" spans="1:13" ht="15.75" customHeight="1">
      <c r="A128" s="70" t="s">
        <v>29</v>
      </c>
      <c r="B128" s="65" t="s">
        <v>29</v>
      </c>
      <c r="C128" s="65" t="s">
        <v>29</v>
      </c>
      <c r="D128" s="65" t="s">
        <v>42</v>
      </c>
      <c r="E128" s="65" t="s">
        <v>19</v>
      </c>
      <c r="F128" s="65">
        <v>26.827999999999999</v>
      </c>
      <c r="G128" s="65" t="s">
        <v>29</v>
      </c>
      <c r="H128" s="65" t="s">
        <v>29</v>
      </c>
    </row>
    <row r="129" spans="1:13" ht="15.75" customHeight="1">
      <c r="A129" s="3" t="s">
        <v>256</v>
      </c>
      <c r="B129" s="3" t="s">
        <v>264</v>
      </c>
      <c r="C129" s="3" t="s">
        <v>45</v>
      </c>
      <c r="D129" s="3" t="s">
        <v>180</v>
      </c>
      <c r="E129" s="3" t="s">
        <v>17</v>
      </c>
      <c r="F129" s="3">
        <v>16.879000000000001</v>
      </c>
      <c r="G129" s="3">
        <f t="shared" ref="G129" si="18">F129/F130</f>
        <v>0.65321207430340567</v>
      </c>
      <c r="H129" s="308">
        <f t="shared" ref="H129" si="19">(G129-0.94)/0.52</f>
        <v>-0.55151524172421973</v>
      </c>
      <c r="I129" s="55" t="s">
        <v>232</v>
      </c>
    </row>
    <row r="130" spans="1:13" ht="15.75" customHeight="1">
      <c r="A130" s="7"/>
      <c r="B130" s="7"/>
      <c r="C130" s="7"/>
      <c r="D130" s="3" t="s">
        <v>180</v>
      </c>
      <c r="E130" s="3" t="s">
        <v>19</v>
      </c>
      <c r="F130" s="3">
        <v>25.84</v>
      </c>
      <c r="G130" s="3"/>
      <c r="H130" s="308"/>
    </row>
    <row r="132" spans="1:13" ht="15.75" customHeight="1">
      <c r="A132" s="36" t="s">
        <v>265</v>
      </c>
      <c r="B132" s="36" t="s">
        <v>257</v>
      </c>
      <c r="C132" s="36" t="s">
        <v>15</v>
      </c>
      <c r="D132" s="36" t="s">
        <v>185</v>
      </c>
      <c r="E132" s="36" t="s">
        <v>17</v>
      </c>
      <c r="F132" s="36">
        <v>18.501000000000001</v>
      </c>
      <c r="G132" s="36">
        <f t="shared" ref="G132" si="20">F132/F133</f>
        <v>0.93942317457093538</v>
      </c>
      <c r="H132" s="330">
        <f t="shared" ref="H132" si="21">(G132-0.94)/0.52</f>
        <v>-1.109279671278009E-3</v>
      </c>
      <c r="I132" s="55" t="s">
        <v>120</v>
      </c>
    </row>
    <row r="133" spans="1:13" ht="15.75" customHeight="1">
      <c r="A133" s="3"/>
      <c r="B133" s="3"/>
      <c r="C133" s="3"/>
      <c r="D133" s="3" t="s">
        <v>185</v>
      </c>
      <c r="E133" s="3" t="s">
        <v>19</v>
      </c>
      <c r="F133" s="3">
        <v>19.693999999999999</v>
      </c>
      <c r="G133" s="3"/>
      <c r="H133" s="308"/>
    </row>
    <row r="134" spans="1:13" ht="15.75" customHeight="1">
      <c r="A134" s="3" t="s">
        <v>265</v>
      </c>
      <c r="B134" s="3" t="s">
        <v>258</v>
      </c>
      <c r="C134" s="3" t="s">
        <v>21</v>
      </c>
      <c r="D134" s="3" t="s">
        <v>100</v>
      </c>
      <c r="E134" s="3" t="s">
        <v>17</v>
      </c>
      <c r="F134" s="3">
        <v>19.873999999999999</v>
      </c>
      <c r="G134" s="3">
        <f t="shared" ref="G134" si="22">F134/F135</f>
        <v>0.75546432508457828</v>
      </c>
      <c r="H134" s="308">
        <f t="shared" ref="H134" si="23">(G134-0.94)/0.52</f>
        <v>-0.35487629791427244</v>
      </c>
      <c r="I134" s="55" t="s">
        <v>120</v>
      </c>
    </row>
    <row r="135" spans="1:13" ht="15.75" customHeight="1">
      <c r="A135" s="3"/>
      <c r="B135" s="3"/>
      <c r="C135" s="3"/>
      <c r="D135" s="3" t="s">
        <v>100</v>
      </c>
      <c r="E135" s="3" t="s">
        <v>19</v>
      </c>
      <c r="F135" s="3">
        <v>26.306999999999999</v>
      </c>
      <c r="G135" s="3"/>
      <c r="H135" s="308"/>
    </row>
    <row r="136" spans="1:13" ht="51">
      <c r="A136" s="3" t="s">
        <v>265</v>
      </c>
      <c r="B136" s="3" t="s">
        <v>261</v>
      </c>
      <c r="C136" s="3" t="s">
        <v>45</v>
      </c>
      <c r="D136" s="3" t="s">
        <v>173</v>
      </c>
      <c r="E136" s="3" t="s">
        <v>17</v>
      </c>
      <c r="F136" s="3">
        <v>16.707999999999998</v>
      </c>
      <c r="G136" s="3">
        <f t="shared" ref="G136" si="24">F136/F137</f>
        <v>0.61787655781960715</v>
      </c>
      <c r="H136" s="308">
        <f t="shared" ref="H136" si="25">(G136-0.94)/0.52</f>
        <v>-0.61946815803921684</v>
      </c>
      <c r="I136" s="55" t="s">
        <v>120</v>
      </c>
      <c r="J136" s="342" t="s">
        <v>266</v>
      </c>
      <c r="K136" s="221" t="s">
        <v>265</v>
      </c>
      <c r="L136" s="165">
        <v>45056</v>
      </c>
      <c r="M136" s="181" t="s">
        <v>24</v>
      </c>
    </row>
    <row r="137" spans="1:13" ht="15.75" customHeight="1">
      <c r="A137" s="3"/>
      <c r="B137" s="3"/>
      <c r="C137" s="3"/>
      <c r="D137" s="3" t="s">
        <v>173</v>
      </c>
      <c r="E137" s="3" t="s">
        <v>19</v>
      </c>
      <c r="F137" s="3">
        <v>27.041</v>
      </c>
      <c r="G137" s="3"/>
      <c r="H137" s="308"/>
    </row>
    <row r="138" spans="1:13" ht="15.75" customHeight="1">
      <c r="A138" s="68" t="s">
        <v>265</v>
      </c>
      <c r="B138" s="66" t="s">
        <v>264</v>
      </c>
      <c r="C138" s="66" t="s">
        <v>45</v>
      </c>
      <c r="D138" s="66" t="s">
        <v>105</v>
      </c>
      <c r="E138" s="66" t="s">
        <v>17</v>
      </c>
      <c r="F138" s="66">
        <v>16.742999999999999</v>
      </c>
      <c r="G138" s="66">
        <v>0.58517405300000003</v>
      </c>
      <c r="H138" s="339">
        <v>-0.68200000000000005</v>
      </c>
      <c r="I138" s="55" t="s">
        <v>147</v>
      </c>
    </row>
    <row r="139" spans="1:13" ht="15.75" customHeight="1">
      <c r="A139" s="70" t="s">
        <v>29</v>
      </c>
      <c r="B139" s="65" t="s">
        <v>29</v>
      </c>
      <c r="C139" s="65" t="s">
        <v>29</v>
      </c>
      <c r="D139" s="65" t="s">
        <v>105</v>
      </c>
      <c r="E139" s="65" t="s">
        <v>19</v>
      </c>
      <c r="F139" s="65">
        <v>28.611999999999998</v>
      </c>
      <c r="G139" s="65" t="s">
        <v>29</v>
      </c>
      <c r="H139" s="65" t="s">
        <v>29</v>
      </c>
    </row>
    <row r="140" spans="1:13" s="122" customFormat="1" ht="15.75" customHeight="1">
      <c r="C140" s="126"/>
      <c r="F140" s="126"/>
      <c r="H140" s="126"/>
      <c r="J140" s="126"/>
      <c r="K140" s="126"/>
      <c r="L140" s="126"/>
      <c r="M140" s="126"/>
    </row>
    <row r="141" spans="1:13" ht="15.75" customHeight="1">
      <c r="A141" s="268" t="s">
        <v>267</v>
      </c>
      <c r="B141" s="269" t="s">
        <v>268</v>
      </c>
      <c r="C141" s="269" t="s">
        <v>38</v>
      </c>
      <c r="D141" s="66" t="s">
        <v>68</v>
      </c>
      <c r="E141" s="66" t="s">
        <v>17</v>
      </c>
      <c r="F141" s="66">
        <v>17.053999999999998</v>
      </c>
      <c r="G141" s="66">
        <v>0.76273536399999997</v>
      </c>
      <c r="H141" s="247">
        <v>-0.34100000000000003</v>
      </c>
      <c r="I141" s="55" t="s">
        <v>269</v>
      </c>
    </row>
    <row r="142" spans="1:13" ht="15.75" customHeight="1">
      <c r="A142" s="70" t="s">
        <v>29</v>
      </c>
      <c r="B142" s="65" t="s">
        <v>29</v>
      </c>
      <c r="C142" s="65" t="s">
        <v>29</v>
      </c>
      <c r="D142" s="65" t="s">
        <v>68</v>
      </c>
      <c r="E142" s="65" t="s">
        <v>19</v>
      </c>
      <c r="F142" s="65">
        <v>22.359000000000002</v>
      </c>
      <c r="G142" s="65" t="s">
        <v>29</v>
      </c>
      <c r="H142" s="65" t="s">
        <v>29</v>
      </c>
    </row>
    <row r="143" spans="1:13" ht="15.75" customHeight="1">
      <c r="A143" s="270" t="s">
        <v>267</v>
      </c>
      <c r="B143" s="271" t="s">
        <v>270</v>
      </c>
      <c r="C143" s="271" t="s">
        <v>21</v>
      </c>
      <c r="D143" s="65" t="s">
        <v>71</v>
      </c>
      <c r="E143" s="65" t="s">
        <v>17</v>
      </c>
      <c r="F143" s="65">
        <v>17.14</v>
      </c>
      <c r="G143" s="65">
        <v>0.83236208199999995</v>
      </c>
      <c r="H143" s="247">
        <v>-0.20699999999999999</v>
      </c>
      <c r="I143" s="55" t="s">
        <v>269</v>
      </c>
      <c r="J143" s="89" t="s">
        <v>271</v>
      </c>
      <c r="K143" s="89" t="s">
        <v>267</v>
      </c>
      <c r="L143" s="165">
        <v>44950</v>
      </c>
      <c r="M143" s="181" t="s">
        <v>24</v>
      </c>
    </row>
    <row r="144" spans="1:13" ht="15.75" customHeight="1">
      <c r="A144" s="70" t="s">
        <v>29</v>
      </c>
      <c r="B144" s="65" t="s">
        <v>29</v>
      </c>
      <c r="C144" s="65" t="s">
        <v>29</v>
      </c>
      <c r="D144" s="65" t="s">
        <v>71</v>
      </c>
      <c r="E144" s="65" t="s">
        <v>19</v>
      </c>
      <c r="F144" s="65">
        <v>20.591999999999999</v>
      </c>
      <c r="G144" s="65" t="s">
        <v>29</v>
      </c>
      <c r="H144" s="65" t="s">
        <v>29</v>
      </c>
    </row>
    <row r="145" spans="1:13" ht="15.75" customHeight="1">
      <c r="A145" s="270" t="s">
        <v>267</v>
      </c>
      <c r="B145" s="271" t="s">
        <v>272</v>
      </c>
      <c r="C145" s="271" t="s">
        <v>45</v>
      </c>
      <c r="D145" s="65" t="s">
        <v>74</v>
      </c>
      <c r="E145" s="65" t="s">
        <v>17</v>
      </c>
      <c r="F145" s="65">
        <v>21.044</v>
      </c>
      <c r="G145" s="65">
        <v>1.1375750039999999</v>
      </c>
      <c r="H145" s="249">
        <v>0.38</v>
      </c>
      <c r="I145" s="55" t="s">
        <v>269</v>
      </c>
      <c r="J145" s="89" t="s">
        <v>273</v>
      </c>
      <c r="K145" s="89" t="s">
        <v>267</v>
      </c>
      <c r="L145" s="165">
        <v>44950</v>
      </c>
      <c r="M145" s="181" t="s">
        <v>24</v>
      </c>
    </row>
    <row r="146" spans="1:13" ht="15.75" customHeight="1">
      <c r="A146" s="70" t="s">
        <v>29</v>
      </c>
      <c r="B146" s="65" t="s">
        <v>29</v>
      </c>
      <c r="C146" s="65" t="s">
        <v>29</v>
      </c>
      <c r="D146" s="65" t="s">
        <v>74</v>
      </c>
      <c r="E146" s="65" t="s">
        <v>19</v>
      </c>
      <c r="F146" s="65">
        <v>18.498999999999999</v>
      </c>
      <c r="G146" s="65" t="s">
        <v>29</v>
      </c>
      <c r="H146" s="65" t="s">
        <v>29</v>
      </c>
    </row>
    <row r="153" spans="1:13" s="122" customFormat="1" ht="15.75" customHeight="1">
      <c r="C153" s="126"/>
      <c r="F153" s="126"/>
      <c r="H153" s="126"/>
      <c r="J153" s="126"/>
      <c r="K153" s="126"/>
      <c r="L153" s="126"/>
      <c r="M153" s="126"/>
    </row>
    <row r="154" spans="1:13" ht="15.75" customHeight="1">
      <c r="A154" s="268" t="s">
        <v>274</v>
      </c>
      <c r="B154" s="269" t="s">
        <v>275</v>
      </c>
      <c r="C154" s="269" t="s">
        <v>38</v>
      </c>
      <c r="D154" s="66" t="s">
        <v>81</v>
      </c>
      <c r="E154" s="66" t="s">
        <v>17</v>
      </c>
      <c r="F154" s="66">
        <v>16.408000000000001</v>
      </c>
      <c r="G154" s="66">
        <v>0.78454623700000004</v>
      </c>
      <c r="H154" s="247">
        <v>-0.29899999999999999</v>
      </c>
      <c r="I154" s="55" t="s">
        <v>269</v>
      </c>
    </row>
    <row r="155" spans="1:13" ht="15.75" customHeight="1">
      <c r="A155" s="70" t="s">
        <v>29</v>
      </c>
      <c r="B155" s="65" t="s">
        <v>29</v>
      </c>
      <c r="C155" s="65" t="s">
        <v>29</v>
      </c>
      <c r="D155" s="65" t="s">
        <v>81</v>
      </c>
      <c r="E155" s="65" t="s">
        <v>19</v>
      </c>
      <c r="F155" s="65">
        <v>20.914000000000001</v>
      </c>
      <c r="G155" s="65" t="s">
        <v>29</v>
      </c>
      <c r="H155" s="65" t="s">
        <v>29</v>
      </c>
    </row>
    <row r="156" spans="1:13" ht="15.75" customHeight="1">
      <c r="A156" s="270" t="s">
        <v>274</v>
      </c>
      <c r="B156" s="271" t="s">
        <v>276</v>
      </c>
      <c r="C156" s="271" t="s">
        <v>21</v>
      </c>
      <c r="D156" s="65" t="s">
        <v>83</v>
      </c>
      <c r="E156" s="65" t="s">
        <v>17</v>
      </c>
      <c r="F156" s="65">
        <v>17.751999999999999</v>
      </c>
      <c r="G156" s="65">
        <v>0.76606395400000005</v>
      </c>
      <c r="H156" s="247">
        <v>-0.33400000000000002</v>
      </c>
      <c r="I156" s="55" t="s">
        <v>269</v>
      </c>
      <c r="J156" s="89" t="s">
        <v>277</v>
      </c>
      <c r="K156" s="89" t="s">
        <v>274</v>
      </c>
      <c r="L156" s="165">
        <v>44907</v>
      </c>
      <c r="M156" s="181" t="s">
        <v>24</v>
      </c>
    </row>
    <row r="157" spans="1:13" ht="15.75" customHeight="1">
      <c r="A157" s="70" t="s">
        <v>29</v>
      </c>
      <c r="B157" s="65" t="s">
        <v>29</v>
      </c>
      <c r="C157" s="65" t="s">
        <v>29</v>
      </c>
      <c r="D157" s="65" t="s">
        <v>83</v>
      </c>
      <c r="E157" s="65" t="s">
        <v>19</v>
      </c>
      <c r="F157" s="65">
        <v>23.172999999999998</v>
      </c>
      <c r="G157" s="65" t="s">
        <v>29</v>
      </c>
      <c r="H157" s="65" t="s">
        <v>29</v>
      </c>
    </row>
    <row r="158" spans="1:13" ht="15.75" customHeight="1">
      <c r="A158" s="270" t="s">
        <v>274</v>
      </c>
      <c r="B158" s="271" t="s">
        <v>278</v>
      </c>
      <c r="C158" s="271" t="s">
        <v>45</v>
      </c>
      <c r="D158" s="65" t="s">
        <v>27</v>
      </c>
      <c r="E158" s="65" t="s">
        <v>17</v>
      </c>
      <c r="F158" s="65">
        <v>17.847000000000001</v>
      </c>
      <c r="G158" s="65">
        <v>0.85831770299999999</v>
      </c>
      <c r="H158" s="247">
        <v>-0.157</v>
      </c>
      <c r="I158" s="55" t="s">
        <v>269</v>
      </c>
    </row>
    <row r="159" spans="1:13" ht="15.75" customHeight="1">
      <c r="A159" s="70" t="s">
        <v>29</v>
      </c>
      <c r="B159" s="65" t="s">
        <v>29</v>
      </c>
      <c r="C159" s="65" t="s">
        <v>29</v>
      </c>
      <c r="D159" s="65" t="s">
        <v>27</v>
      </c>
      <c r="E159" s="65" t="s">
        <v>19</v>
      </c>
      <c r="F159" s="65">
        <v>20.792999999999999</v>
      </c>
      <c r="G159" s="65" t="s">
        <v>29</v>
      </c>
      <c r="H159" s="65" t="s">
        <v>29</v>
      </c>
    </row>
    <row r="160" spans="1:13" ht="15.75" customHeight="1">
      <c r="A160" s="303" t="s">
        <v>279</v>
      </c>
      <c r="B160" s="66" t="s">
        <v>275</v>
      </c>
      <c r="C160" s="66" t="s">
        <v>38</v>
      </c>
      <c r="D160" s="66" t="s">
        <v>231</v>
      </c>
      <c r="E160" s="66" t="s">
        <v>17</v>
      </c>
      <c r="F160" s="66">
        <v>17.399999999999999</v>
      </c>
      <c r="G160" s="66">
        <v>0.772372159</v>
      </c>
      <c r="H160" s="247">
        <v>-0.32200000000000001</v>
      </c>
      <c r="I160" s="72" t="s">
        <v>224</v>
      </c>
    </row>
    <row r="161" spans="1:13" ht="15.75" customHeight="1">
      <c r="A161" s="304" t="s">
        <v>29</v>
      </c>
      <c r="B161" s="65" t="s">
        <v>29</v>
      </c>
      <c r="C161" s="65" t="s">
        <v>29</v>
      </c>
      <c r="D161" s="65" t="s">
        <v>231</v>
      </c>
      <c r="E161" s="65" t="s">
        <v>19</v>
      </c>
      <c r="F161" s="65">
        <v>22.527999999999999</v>
      </c>
      <c r="G161" s="65" t="s">
        <v>29</v>
      </c>
      <c r="H161" s="65" t="s">
        <v>29</v>
      </c>
      <c r="I161" s="97"/>
    </row>
    <row r="162" spans="1:13" ht="15.75" customHeight="1">
      <c r="A162" s="304" t="s">
        <v>279</v>
      </c>
      <c r="B162" s="65" t="s">
        <v>276</v>
      </c>
      <c r="C162" s="65" t="s">
        <v>226</v>
      </c>
      <c r="D162" s="65" t="s">
        <v>180</v>
      </c>
      <c r="E162" s="65" t="s">
        <v>17</v>
      </c>
      <c r="F162" s="65">
        <v>16.733000000000001</v>
      </c>
      <c r="G162" s="65">
        <v>0.72990185399999996</v>
      </c>
      <c r="H162" s="247">
        <v>-0.40400000000000003</v>
      </c>
      <c r="I162" s="72" t="s">
        <v>224</v>
      </c>
      <c r="J162" s="89" t="s">
        <v>277</v>
      </c>
      <c r="K162" s="89" t="s">
        <v>280</v>
      </c>
      <c r="L162" s="165">
        <v>44966</v>
      </c>
      <c r="M162" s="181" t="s">
        <v>24</v>
      </c>
    </row>
    <row r="163" spans="1:13" ht="15.75" customHeight="1">
      <c r="A163" s="304" t="s">
        <v>29</v>
      </c>
      <c r="B163" s="65" t="s">
        <v>29</v>
      </c>
      <c r="C163" s="65" t="s">
        <v>29</v>
      </c>
      <c r="D163" s="65" t="s">
        <v>180</v>
      </c>
      <c r="E163" s="65" t="s">
        <v>19</v>
      </c>
      <c r="F163" s="65">
        <v>22.925000000000001</v>
      </c>
      <c r="G163" s="65" t="s">
        <v>29</v>
      </c>
      <c r="H163" s="65" t="s">
        <v>29</v>
      </c>
      <c r="I163" s="97"/>
    </row>
    <row r="164" spans="1:13" ht="15.75" customHeight="1">
      <c r="A164" s="304" t="s">
        <v>279</v>
      </c>
      <c r="B164" s="65" t="s">
        <v>278</v>
      </c>
      <c r="C164" s="65" t="s">
        <v>45</v>
      </c>
      <c r="D164" s="65" t="s">
        <v>281</v>
      </c>
      <c r="E164" s="65" t="s">
        <v>17</v>
      </c>
      <c r="F164" s="65">
        <v>17.594000000000001</v>
      </c>
      <c r="G164" s="65">
        <v>0.92187581900000004</v>
      </c>
      <c r="H164" s="247">
        <v>-3.5000000000000003E-2</v>
      </c>
      <c r="I164" s="72" t="s">
        <v>224</v>
      </c>
    </row>
    <row r="165" spans="1:13" ht="15.75" customHeight="1">
      <c r="A165" s="304" t="s">
        <v>29</v>
      </c>
      <c r="B165" s="65" t="s">
        <v>29</v>
      </c>
      <c r="C165" s="65" t="s">
        <v>29</v>
      </c>
      <c r="D165" s="65" t="s">
        <v>281</v>
      </c>
      <c r="E165" s="65" t="s">
        <v>19</v>
      </c>
      <c r="F165" s="65">
        <v>19.085000000000001</v>
      </c>
      <c r="G165" s="65" t="s">
        <v>29</v>
      </c>
      <c r="H165" s="65" t="s">
        <v>29</v>
      </c>
      <c r="I165" s="97"/>
    </row>
    <row r="166" spans="1:13" s="122" customFormat="1" ht="15.75" customHeight="1">
      <c r="C166" s="126"/>
      <c r="F166" s="126"/>
      <c r="H166" s="126"/>
      <c r="J166" s="126"/>
      <c r="K166" s="126"/>
      <c r="L166" s="126"/>
      <c r="M166" s="126"/>
    </row>
    <row r="167" spans="1:13" ht="15.75" customHeight="1">
      <c r="A167" s="68" t="s">
        <v>282</v>
      </c>
      <c r="B167" s="66" t="s">
        <v>283</v>
      </c>
      <c r="C167" s="66" t="s">
        <v>15</v>
      </c>
      <c r="D167" s="66" t="s">
        <v>34</v>
      </c>
      <c r="E167" s="66" t="s">
        <v>17</v>
      </c>
      <c r="F167" s="66">
        <v>16.463000000000001</v>
      </c>
      <c r="G167" s="66">
        <v>0.73133134899999996</v>
      </c>
      <c r="H167" s="247">
        <v>-0.40100000000000002</v>
      </c>
      <c r="I167" s="55" t="s">
        <v>131</v>
      </c>
    </row>
    <row r="168" spans="1:13" ht="15.75" customHeight="1">
      <c r="A168" s="70" t="s">
        <v>29</v>
      </c>
      <c r="B168" s="266" t="s">
        <v>284</v>
      </c>
      <c r="C168" s="65" t="s">
        <v>29</v>
      </c>
      <c r="D168" s="65" t="s">
        <v>34</v>
      </c>
      <c r="E168" s="65" t="s">
        <v>19</v>
      </c>
      <c r="F168" s="65">
        <v>22.510999999999999</v>
      </c>
      <c r="G168" s="65" t="s">
        <v>29</v>
      </c>
      <c r="H168" s="65" t="s">
        <v>29</v>
      </c>
    </row>
    <row r="169" spans="1:13" ht="15.75" customHeight="1">
      <c r="A169" s="70" t="s">
        <v>282</v>
      </c>
      <c r="B169" s="65" t="s">
        <v>285</v>
      </c>
      <c r="C169" s="65" t="s">
        <v>21</v>
      </c>
      <c r="D169" s="65" t="s">
        <v>105</v>
      </c>
      <c r="E169" s="65" t="s">
        <v>17</v>
      </c>
      <c r="F169" s="65">
        <v>16.815999999999999</v>
      </c>
      <c r="G169" s="65">
        <v>0.66254284699999999</v>
      </c>
      <c r="H169" s="247">
        <v>-0.53400000000000003</v>
      </c>
      <c r="I169" s="55" t="s">
        <v>131</v>
      </c>
      <c r="J169" s="89" t="s">
        <v>286</v>
      </c>
      <c r="K169" s="89" t="s">
        <v>287</v>
      </c>
      <c r="L169" s="165">
        <v>44950</v>
      </c>
      <c r="M169" s="181" t="s">
        <v>24</v>
      </c>
    </row>
    <row r="170" spans="1:13" ht="15.75" customHeight="1">
      <c r="A170" s="70" t="s">
        <v>29</v>
      </c>
      <c r="B170" s="266" t="s">
        <v>284</v>
      </c>
      <c r="C170" s="65" t="s">
        <v>29</v>
      </c>
      <c r="D170" s="65" t="s">
        <v>105</v>
      </c>
      <c r="E170" s="65" t="s">
        <v>19</v>
      </c>
      <c r="F170" s="65">
        <v>25.381</v>
      </c>
      <c r="G170" s="65" t="s">
        <v>29</v>
      </c>
      <c r="H170" s="65" t="s">
        <v>29</v>
      </c>
    </row>
    <row r="171" spans="1:13" ht="15.75" customHeight="1">
      <c r="A171" s="70" t="s">
        <v>282</v>
      </c>
      <c r="B171" s="65" t="s">
        <v>288</v>
      </c>
      <c r="C171" s="65" t="s">
        <v>45</v>
      </c>
      <c r="D171" s="65" t="s">
        <v>59</v>
      </c>
      <c r="E171" s="65" t="s">
        <v>17</v>
      </c>
      <c r="F171" s="65">
        <v>18.417999999999999</v>
      </c>
      <c r="G171" s="65">
        <v>0.8391653</v>
      </c>
      <c r="H171" s="247">
        <v>-0.19400000000000001</v>
      </c>
      <c r="I171" s="55" t="s">
        <v>131</v>
      </c>
      <c r="J171" s="89" t="s">
        <v>289</v>
      </c>
      <c r="K171" s="89" t="s">
        <v>290</v>
      </c>
      <c r="L171" s="165">
        <v>44966</v>
      </c>
      <c r="M171" s="181" t="s">
        <v>24</v>
      </c>
    </row>
    <row r="172" spans="1:13" ht="15.75" customHeight="1">
      <c r="A172" s="70" t="s">
        <v>29</v>
      </c>
      <c r="B172" s="266" t="s">
        <v>284</v>
      </c>
      <c r="C172" s="65" t="s">
        <v>29</v>
      </c>
      <c r="D172" s="65" t="s">
        <v>59</v>
      </c>
      <c r="E172" s="65" t="s">
        <v>19</v>
      </c>
      <c r="F172" s="65">
        <v>21.948</v>
      </c>
      <c r="G172" s="65" t="s">
        <v>29</v>
      </c>
      <c r="H172" s="65" t="s">
        <v>29</v>
      </c>
    </row>
    <row r="174" spans="1:13" ht="15.75" customHeight="1">
      <c r="A174" s="387" t="s">
        <v>291</v>
      </c>
      <c r="B174" s="391" t="s">
        <v>292</v>
      </c>
      <c r="C174" s="387" t="s">
        <v>38</v>
      </c>
      <c r="D174" s="387" t="s">
        <v>68</v>
      </c>
      <c r="E174" s="387" t="s">
        <v>17</v>
      </c>
      <c r="F174" s="387">
        <v>17.951000000000001</v>
      </c>
      <c r="G174" s="387">
        <v>0.80263805099999996</v>
      </c>
      <c r="H174" s="389">
        <v>-0.26400000000000001</v>
      </c>
      <c r="I174" t="s">
        <v>293</v>
      </c>
    </row>
    <row r="175" spans="1:13" ht="15.75" customHeight="1">
      <c r="A175" s="380" t="s">
        <v>29</v>
      </c>
      <c r="B175" s="379" t="s">
        <v>29</v>
      </c>
      <c r="C175" s="380" t="s">
        <v>29</v>
      </c>
      <c r="D175" s="380" t="s">
        <v>68</v>
      </c>
      <c r="E175" s="380" t="s">
        <v>19</v>
      </c>
      <c r="F175" s="380">
        <v>22.364999999999998</v>
      </c>
      <c r="G175" s="380" t="s">
        <v>29</v>
      </c>
      <c r="H175" s="380" t="s">
        <v>29</v>
      </c>
    </row>
    <row r="176" spans="1:13" ht="15.75" customHeight="1">
      <c r="A176" s="380" t="s">
        <v>291</v>
      </c>
      <c r="B176" s="379" t="s">
        <v>285</v>
      </c>
      <c r="C176" s="380" t="s">
        <v>21</v>
      </c>
      <c r="D176" s="380" t="s">
        <v>71</v>
      </c>
      <c r="E176" s="380" t="s">
        <v>17</v>
      </c>
      <c r="F176" s="380">
        <v>17.198</v>
      </c>
      <c r="G176" s="380">
        <v>0.75005451599999995</v>
      </c>
      <c r="H176" s="389">
        <v>-0.36499999999999999</v>
      </c>
      <c r="I176" t="s">
        <v>293</v>
      </c>
    </row>
    <row r="177" spans="1:13" ht="15.75" customHeight="1">
      <c r="A177" s="380" t="s">
        <v>29</v>
      </c>
      <c r="B177" s="379" t="s">
        <v>29</v>
      </c>
      <c r="C177" s="380" t="s">
        <v>29</v>
      </c>
      <c r="D177" s="380" t="s">
        <v>71</v>
      </c>
      <c r="E177" s="380" t="s">
        <v>19</v>
      </c>
      <c r="F177" s="380">
        <v>22.928999999999998</v>
      </c>
      <c r="G177" s="380" t="s">
        <v>29</v>
      </c>
      <c r="H177" s="380" t="s">
        <v>29</v>
      </c>
    </row>
    <row r="178" spans="1:13" ht="15.75" customHeight="1">
      <c r="A178" s="380" t="s">
        <v>291</v>
      </c>
      <c r="B178" s="379" t="s">
        <v>288</v>
      </c>
      <c r="C178" s="380" t="s">
        <v>45</v>
      </c>
      <c r="D178" s="380" t="s">
        <v>74</v>
      </c>
      <c r="E178" s="380" t="s">
        <v>17</v>
      </c>
      <c r="F178" s="380">
        <v>18.254000000000001</v>
      </c>
      <c r="G178" s="380">
        <v>0.95927268899999996</v>
      </c>
      <c r="H178" s="390">
        <v>3.6999999999999998E-2</v>
      </c>
      <c r="I178" t="s">
        <v>293</v>
      </c>
    </row>
    <row r="179" spans="1:13" ht="15.75" customHeight="1">
      <c r="A179" s="380" t="s">
        <v>29</v>
      </c>
      <c r="B179" s="379" t="s">
        <v>29</v>
      </c>
      <c r="C179" s="380" t="s">
        <v>29</v>
      </c>
      <c r="D179" s="380" t="s">
        <v>74</v>
      </c>
      <c r="E179" s="380" t="s">
        <v>19</v>
      </c>
      <c r="F179" s="380">
        <v>19.029</v>
      </c>
      <c r="G179" s="380" t="s">
        <v>29</v>
      </c>
      <c r="H179" s="380" t="s">
        <v>29</v>
      </c>
    </row>
    <row r="180" spans="1:13" s="122" customFormat="1" ht="15.75" customHeight="1">
      <c r="C180" s="126"/>
      <c r="F180" s="126"/>
      <c r="H180" s="126"/>
      <c r="J180" s="126"/>
      <c r="K180" s="126"/>
      <c r="L180" s="126"/>
      <c r="M180" s="126"/>
    </row>
    <row r="181" spans="1:13" ht="15.75" customHeight="1">
      <c r="A181" s="301" t="s">
        <v>294</v>
      </c>
      <c r="B181" s="66" t="s">
        <v>295</v>
      </c>
      <c r="C181" s="66" t="s">
        <v>38</v>
      </c>
      <c r="D181" s="66" t="s">
        <v>242</v>
      </c>
      <c r="E181" s="66" t="s">
        <v>17</v>
      </c>
      <c r="F181" s="66">
        <v>36.256</v>
      </c>
      <c r="G181" s="66">
        <v>2.0509107370000002</v>
      </c>
      <c r="H181" s="249">
        <v>2.1360000000000001</v>
      </c>
      <c r="I181" s="72" t="s">
        <v>224</v>
      </c>
      <c r="J181" s="89" t="s">
        <v>296</v>
      </c>
      <c r="K181" s="89" t="s">
        <v>294</v>
      </c>
      <c r="L181" s="165">
        <v>44980</v>
      </c>
      <c r="M181" s="293" t="s">
        <v>297</v>
      </c>
    </row>
    <row r="182" spans="1:13" ht="15.75" customHeight="1">
      <c r="A182" s="302" t="s">
        <v>29</v>
      </c>
      <c r="B182" s="65" t="s">
        <v>29</v>
      </c>
      <c r="C182" s="65" t="s">
        <v>29</v>
      </c>
      <c r="D182" s="65" t="s">
        <v>242</v>
      </c>
      <c r="E182" s="65" t="s">
        <v>19</v>
      </c>
      <c r="F182" s="65">
        <v>17.678000000000001</v>
      </c>
      <c r="G182" s="65" t="s">
        <v>29</v>
      </c>
      <c r="H182" s="65" t="s">
        <v>29</v>
      </c>
      <c r="I182" s="97"/>
    </row>
    <row r="183" spans="1:13" ht="15.75" customHeight="1">
      <c r="A183" s="302" t="s">
        <v>294</v>
      </c>
      <c r="B183" s="65" t="s">
        <v>298</v>
      </c>
      <c r="C183" s="65" t="s">
        <v>226</v>
      </c>
      <c r="D183" s="65" t="s">
        <v>299</v>
      </c>
      <c r="E183" s="65" t="s">
        <v>17</v>
      </c>
      <c r="F183" s="65">
        <v>32.75</v>
      </c>
      <c r="G183" s="65">
        <v>1.7347317120000001</v>
      </c>
      <c r="H183" s="249">
        <v>1.528</v>
      </c>
      <c r="I183" s="72" t="s">
        <v>224</v>
      </c>
      <c r="J183" s="89" t="s">
        <v>300</v>
      </c>
      <c r="K183" s="89" t="s">
        <v>301</v>
      </c>
      <c r="L183" s="165">
        <v>44966</v>
      </c>
      <c r="M183" s="293" t="s">
        <v>297</v>
      </c>
    </row>
    <row r="184" spans="1:13" ht="15.75" customHeight="1">
      <c r="A184" s="302" t="s">
        <v>29</v>
      </c>
      <c r="B184" s="65" t="s">
        <v>29</v>
      </c>
      <c r="C184" s="65" t="s">
        <v>29</v>
      </c>
      <c r="D184" s="65" t="s">
        <v>299</v>
      </c>
      <c r="E184" s="65" t="s">
        <v>19</v>
      </c>
      <c r="F184" s="65">
        <v>18.879000000000001</v>
      </c>
      <c r="G184" s="65" t="s">
        <v>29</v>
      </c>
      <c r="H184" s="65" t="s">
        <v>29</v>
      </c>
      <c r="I184" s="97"/>
    </row>
    <row r="185" spans="1:13" ht="15.75" customHeight="1">
      <c r="A185" s="302" t="s">
        <v>294</v>
      </c>
      <c r="B185" s="65" t="s">
        <v>302</v>
      </c>
      <c r="C185" s="65" t="s">
        <v>45</v>
      </c>
      <c r="D185" s="65" t="s">
        <v>303</v>
      </c>
      <c r="E185" s="65" t="s">
        <v>17</v>
      </c>
      <c r="F185" s="65">
        <v>37.271000000000001</v>
      </c>
      <c r="G185" s="65">
        <v>2.1781894689999999</v>
      </c>
      <c r="H185" s="249">
        <v>2.3809999999999998</v>
      </c>
      <c r="I185" s="72" t="s">
        <v>224</v>
      </c>
    </row>
    <row r="186" spans="1:13" ht="15.75" customHeight="1">
      <c r="A186" s="302" t="s">
        <v>29</v>
      </c>
      <c r="B186" s="65" t="s">
        <v>29</v>
      </c>
      <c r="C186" s="65" t="s">
        <v>29</v>
      </c>
      <c r="D186" s="65" t="s">
        <v>303</v>
      </c>
      <c r="E186" s="65" t="s">
        <v>19</v>
      </c>
      <c r="F186" s="65">
        <v>17.111000000000001</v>
      </c>
      <c r="G186" s="65" t="s">
        <v>29</v>
      </c>
      <c r="H186" s="65" t="s">
        <v>29</v>
      </c>
      <c r="I186" s="97"/>
    </row>
    <row r="188" spans="1:13" ht="15.75" customHeight="1">
      <c r="A188" s="4" t="s">
        <v>304</v>
      </c>
      <c r="B188" s="4" t="s">
        <v>295</v>
      </c>
      <c r="C188" s="4" t="s">
        <v>38</v>
      </c>
      <c r="D188" s="7" t="s">
        <v>305</v>
      </c>
      <c r="E188" s="7" t="s">
        <v>17</v>
      </c>
      <c r="F188" s="7">
        <v>34.259</v>
      </c>
      <c r="G188" s="3">
        <f t="shared" ref="G188" si="26">F188/F189</f>
        <v>1.9060309335707133</v>
      </c>
      <c r="H188" s="189">
        <f t="shared" ref="H188" si="27">(G188-0.94)/0.52</f>
        <v>1.8577517953282949</v>
      </c>
      <c r="I188" s="55" t="s">
        <v>203</v>
      </c>
    </row>
    <row r="189" spans="1:13" ht="15.75" customHeight="1">
      <c r="A189" s="7"/>
      <c r="B189" s="7"/>
      <c r="C189" s="7"/>
      <c r="D189" s="7" t="s">
        <v>305</v>
      </c>
      <c r="E189" s="7" t="s">
        <v>19</v>
      </c>
      <c r="F189" s="7">
        <v>17.974</v>
      </c>
      <c r="G189" s="3"/>
      <c r="H189" s="189"/>
    </row>
    <row r="190" spans="1:13" ht="15.75" customHeight="1">
      <c r="A190" s="4" t="s">
        <v>304</v>
      </c>
      <c r="B190" s="4" t="s">
        <v>298</v>
      </c>
      <c r="C190" s="4" t="s">
        <v>21</v>
      </c>
      <c r="D190" s="7" t="s">
        <v>306</v>
      </c>
      <c r="E190" s="7" t="s">
        <v>17</v>
      </c>
      <c r="F190" s="7">
        <v>29.579000000000001</v>
      </c>
      <c r="G190" s="3">
        <f t="shared" ref="G190" si="28">F190/F191</f>
        <v>1.4810975915076863</v>
      </c>
      <c r="H190" s="189">
        <f t="shared" ref="H190" si="29">(G190-0.94)/0.52</f>
        <v>1.0405722913609352</v>
      </c>
      <c r="I190" s="55" t="s">
        <v>203</v>
      </c>
    </row>
    <row r="191" spans="1:13" ht="15.75" customHeight="1">
      <c r="A191" s="7"/>
      <c r="B191" s="7"/>
      <c r="C191" s="7"/>
      <c r="D191" s="7" t="s">
        <v>306</v>
      </c>
      <c r="E191" s="7" t="s">
        <v>19</v>
      </c>
      <c r="F191" s="7">
        <v>19.971</v>
      </c>
      <c r="G191" s="3"/>
      <c r="H191" s="189"/>
    </row>
    <row r="192" spans="1:13" ht="15.75" customHeight="1">
      <c r="A192" s="4" t="s">
        <v>304</v>
      </c>
      <c r="B192" s="4" t="s">
        <v>302</v>
      </c>
      <c r="C192" s="4" t="s">
        <v>45</v>
      </c>
      <c r="D192" s="7" t="s">
        <v>307</v>
      </c>
      <c r="E192" s="7" t="s">
        <v>17</v>
      </c>
      <c r="F192" s="7">
        <v>33.591999999999999</v>
      </c>
      <c r="G192" s="3">
        <f t="shared" ref="G192" si="30">F192/F193</f>
        <v>1.7763206599333718</v>
      </c>
      <c r="H192" s="189">
        <f t="shared" ref="H192" si="31">(G192-0.94)/0.52</f>
        <v>1.6083089614103305</v>
      </c>
      <c r="I192" s="55" t="s">
        <v>203</v>
      </c>
    </row>
    <row r="193" spans="1:13" ht="15.75" customHeight="1">
      <c r="A193" s="7"/>
      <c r="B193" s="7"/>
      <c r="C193" s="7"/>
      <c r="D193" s="7" t="s">
        <v>307</v>
      </c>
      <c r="E193" s="7" t="s">
        <v>19</v>
      </c>
      <c r="F193" s="7">
        <v>18.911000000000001</v>
      </c>
      <c r="G193" s="3"/>
      <c r="H193" s="189"/>
    </row>
    <row r="194" spans="1:13" s="122" customFormat="1" ht="15.75" customHeight="1">
      <c r="C194" s="126"/>
      <c r="F194" s="126"/>
      <c r="H194" s="126"/>
      <c r="J194" s="126"/>
      <c r="K194" s="126"/>
      <c r="L194" s="126"/>
      <c r="M194" s="126"/>
    </row>
    <row r="195" spans="1:13" ht="15.75" customHeight="1">
      <c r="A195" s="4" t="s">
        <v>308</v>
      </c>
      <c r="B195" s="4" t="s">
        <v>309</v>
      </c>
      <c r="C195" s="4" t="s">
        <v>38</v>
      </c>
      <c r="D195" s="7" t="s">
        <v>310</v>
      </c>
      <c r="E195" s="7" t="s">
        <v>17</v>
      </c>
      <c r="F195" s="7">
        <v>15.928000000000001</v>
      </c>
      <c r="G195" s="3">
        <f t="shared" ref="G195" si="32">F195/F196</f>
        <v>0.72137681159420297</v>
      </c>
      <c r="H195" s="189">
        <f t="shared" ref="H195" si="33">(G195-0.94)/0.52</f>
        <v>-0.4204292084726865</v>
      </c>
      <c r="I195" s="55" t="s">
        <v>203</v>
      </c>
    </row>
    <row r="196" spans="1:13" ht="15.75" customHeight="1">
      <c r="A196" s="7"/>
      <c r="B196" s="7"/>
      <c r="C196" s="7"/>
      <c r="D196" s="7" t="s">
        <v>310</v>
      </c>
      <c r="E196" s="7" t="s">
        <v>19</v>
      </c>
      <c r="F196" s="7">
        <v>22.08</v>
      </c>
      <c r="G196" s="3"/>
      <c r="H196" s="189"/>
    </row>
    <row r="197" spans="1:13" ht="15.75" customHeight="1">
      <c r="A197" s="4" t="s">
        <v>308</v>
      </c>
      <c r="B197" s="4" t="s">
        <v>311</v>
      </c>
      <c r="C197" s="4" t="s">
        <v>21</v>
      </c>
      <c r="D197" s="7" t="s">
        <v>312</v>
      </c>
      <c r="E197" s="7" t="s">
        <v>17</v>
      </c>
      <c r="F197" s="7">
        <v>15.911</v>
      </c>
      <c r="G197" s="3">
        <f t="shared" ref="G197" si="34">F197/F198</f>
        <v>0.71253918495297808</v>
      </c>
      <c r="H197" s="189">
        <f t="shared" ref="H197" si="35">(G197-0.94)/0.52</f>
        <v>-0.43742464432119588</v>
      </c>
      <c r="I197" s="55" t="s">
        <v>203</v>
      </c>
    </row>
    <row r="198" spans="1:13" ht="15.75" customHeight="1">
      <c r="A198" s="7"/>
      <c r="B198" s="7"/>
      <c r="C198" s="7"/>
      <c r="D198" s="7" t="s">
        <v>312</v>
      </c>
      <c r="E198" s="7" t="s">
        <v>19</v>
      </c>
      <c r="F198" s="7">
        <v>22.33</v>
      </c>
      <c r="G198" s="3"/>
      <c r="H198" s="189"/>
    </row>
    <row r="199" spans="1:13" ht="15.75" customHeight="1">
      <c r="A199" s="4" t="s">
        <v>308</v>
      </c>
      <c r="B199" s="4" t="s">
        <v>313</v>
      </c>
      <c r="C199" s="4" t="s">
        <v>45</v>
      </c>
      <c r="D199" s="7" t="s">
        <v>314</v>
      </c>
      <c r="E199" s="7" t="s">
        <v>17</v>
      </c>
      <c r="F199" s="7">
        <v>15.675000000000001</v>
      </c>
      <c r="G199" s="3">
        <f t="shared" ref="G199" si="36">F199/F200</f>
        <v>0.82770091878762286</v>
      </c>
      <c r="H199" s="189">
        <f t="shared" ref="H199" si="37">(G199-0.94)/0.52</f>
        <v>-0.21595977156226362</v>
      </c>
      <c r="I199" s="55" t="s">
        <v>203</v>
      </c>
    </row>
    <row r="200" spans="1:13" ht="15.75" customHeight="1">
      <c r="A200" s="7"/>
      <c r="B200" s="7"/>
      <c r="C200" s="7"/>
      <c r="D200" s="7" t="s">
        <v>314</v>
      </c>
      <c r="E200" s="7" t="s">
        <v>19</v>
      </c>
      <c r="F200" s="7">
        <v>18.937999999999999</v>
      </c>
      <c r="G200" s="3"/>
      <c r="H200" s="189"/>
    </row>
    <row r="202" spans="1:13" ht="15.75" customHeight="1">
      <c r="A202" t="s">
        <v>315</v>
      </c>
    </row>
    <row r="204" spans="1:13" ht="15.75" customHeight="1">
      <c r="A204" t="s">
        <v>315</v>
      </c>
    </row>
    <row r="207" spans="1:13" s="122" customFormat="1" ht="15.75" customHeight="1">
      <c r="C207" s="126"/>
      <c r="F207" s="126"/>
      <c r="H207" s="126"/>
      <c r="J207" s="126"/>
      <c r="K207" s="126"/>
      <c r="L207" s="126"/>
      <c r="M207" s="126"/>
    </row>
    <row r="208" spans="1:13" ht="15.75" customHeight="1">
      <c r="A208" s="4" t="s">
        <v>316</v>
      </c>
      <c r="B208" s="4" t="s">
        <v>317</v>
      </c>
      <c r="C208" s="4" t="s">
        <v>38</v>
      </c>
      <c r="D208" s="7" t="s">
        <v>63</v>
      </c>
      <c r="E208" s="7" t="s">
        <v>17</v>
      </c>
      <c r="F208" s="7">
        <v>15.202</v>
      </c>
      <c r="G208" s="3">
        <f t="shared" ref="G208" si="38">F208/F209</f>
        <v>0.69288969917958065</v>
      </c>
      <c r="H208" s="189">
        <f t="shared" ref="H208" si="39">(G208-0.94)/0.52</f>
        <v>-0.47521211696234478</v>
      </c>
      <c r="I208" s="55" t="s">
        <v>203</v>
      </c>
    </row>
    <row r="209" spans="1:13" ht="15.75" customHeight="1">
      <c r="A209" s="7"/>
      <c r="B209" s="7"/>
      <c r="C209" s="7"/>
      <c r="D209" s="7" t="s">
        <v>63</v>
      </c>
      <c r="E209" s="7" t="s">
        <v>19</v>
      </c>
      <c r="F209" s="7">
        <v>21.94</v>
      </c>
      <c r="G209" s="3"/>
      <c r="H209" s="189"/>
    </row>
    <row r="210" spans="1:13" ht="15.75" customHeight="1">
      <c r="A210" s="4" t="s">
        <v>316</v>
      </c>
      <c r="B210" s="4" t="s">
        <v>318</v>
      </c>
      <c r="C210" s="4" t="s">
        <v>21</v>
      </c>
      <c r="D210" s="7" t="s">
        <v>65</v>
      </c>
      <c r="E210" s="7" t="s">
        <v>17</v>
      </c>
      <c r="F210" s="7">
        <v>14.423999999999999</v>
      </c>
      <c r="G210" s="3">
        <f t="shared" ref="G210" si="40">F210/F211</f>
        <v>0.61886986742180461</v>
      </c>
      <c r="H210" s="189">
        <f t="shared" ref="H210" si="41">(G210-0.94)/0.52</f>
        <v>-0.6175579472657603</v>
      </c>
      <c r="I210" s="55" t="s">
        <v>203</v>
      </c>
      <c r="J210" s="146" t="s">
        <v>319</v>
      </c>
      <c r="K210" s="146" t="s">
        <v>316</v>
      </c>
      <c r="L210" s="165">
        <v>44980</v>
      </c>
      <c r="M210" s="181" t="s">
        <v>24</v>
      </c>
    </row>
    <row r="211" spans="1:13" ht="15.75" customHeight="1">
      <c r="A211" s="7"/>
      <c r="B211" s="7"/>
      <c r="C211" s="7"/>
      <c r="D211" s="7" t="s">
        <v>65</v>
      </c>
      <c r="E211" s="7" t="s">
        <v>19</v>
      </c>
      <c r="F211" s="7">
        <v>23.306999999999999</v>
      </c>
      <c r="G211" s="3"/>
      <c r="H211" s="189"/>
    </row>
    <row r="212" spans="1:13" ht="15.75" customHeight="1">
      <c r="A212" s="4" t="s">
        <v>316</v>
      </c>
      <c r="B212" s="4" t="s">
        <v>320</v>
      </c>
      <c r="C212" s="4" t="s">
        <v>45</v>
      </c>
      <c r="D212" s="7" t="s">
        <v>321</v>
      </c>
      <c r="E212" s="7" t="s">
        <v>17</v>
      </c>
      <c r="F212" s="7">
        <v>15.428000000000001</v>
      </c>
      <c r="G212" s="3">
        <f t="shared" ref="G212" si="42">F212/F213</f>
        <v>0.62129510309278357</v>
      </c>
      <c r="H212" s="189">
        <f t="shared" ref="H212" si="43">(G212-0.94)/0.52</f>
        <v>-0.61289403251387764</v>
      </c>
      <c r="I212" s="55" t="s">
        <v>203</v>
      </c>
      <c r="J212" s="146" t="s">
        <v>322</v>
      </c>
      <c r="K212" s="146" t="s">
        <v>316</v>
      </c>
      <c r="L212" s="165">
        <v>45020</v>
      </c>
      <c r="M212" s="181" t="s">
        <v>24</v>
      </c>
    </row>
    <row r="213" spans="1:13" ht="15.75" customHeight="1">
      <c r="A213" s="7"/>
      <c r="B213" s="7"/>
      <c r="C213" s="7"/>
      <c r="D213" s="7" t="s">
        <v>321</v>
      </c>
      <c r="E213" s="7" t="s">
        <v>19</v>
      </c>
      <c r="F213" s="7">
        <v>24.832000000000001</v>
      </c>
      <c r="G213" s="3"/>
      <c r="H213" s="189"/>
    </row>
    <row r="214" spans="1:13" ht="15.75" customHeight="1">
      <c r="A214" s="3" t="s">
        <v>316</v>
      </c>
      <c r="B214" s="3" t="s">
        <v>323</v>
      </c>
      <c r="C214" s="3" t="s">
        <v>45</v>
      </c>
      <c r="D214" s="3" t="s">
        <v>281</v>
      </c>
      <c r="E214" s="3" t="s">
        <v>17</v>
      </c>
      <c r="F214" s="3">
        <v>16.555</v>
      </c>
      <c r="G214" s="3">
        <f t="shared" ref="G214" si="44">F214/F215</f>
        <v>0.63344174478668447</v>
      </c>
      <c r="H214" s="308">
        <f t="shared" ref="H214" si="45">(G214-0.94)/0.52</f>
        <v>-0.58953510617945282</v>
      </c>
      <c r="I214" s="55" t="s">
        <v>232</v>
      </c>
    </row>
    <row r="215" spans="1:13" ht="15.75" customHeight="1">
      <c r="A215" s="7"/>
      <c r="B215" s="7"/>
      <c r="C215" s="7"/>
      <c r="D215" s="3" t="s">
        <v>281</v>
      </c>
      <c r="E215" s="3" t="s">
        <v>19</v>
      </c>
      <c r="F215" s="3">
        <v>26.135000000000002</v>
      </c>
      <c r="G215" s="3"/>
      <c r="H215" s="308"/>
    </row>
    <row r="220" spans="1:13" s="122" customFormat="1" ht="15.75" customHeight="1">
      <c r="C220" s="126"/>
      <c r="F220" s="126"/>
      <c r="H220" s="126"/>
      <c r="J220" s="126"/>
      <c r="K220" s="126"/>
      <c r="L220" s="126"/>
      <c r="M220" s="126"/>
    </row>
    <row r="221" spans="1:13" ht="15.75" customHeight="1">
      <c r="A221" s="3" t="s">
        <v>324</v>
      </c>
      <c r="B221" s="3" t="s">
        <v>325</v>
      </c>
      <c r="C221" s="3" t="s">
        <v>38</v>
      </c>
      <c r="D221" s="3" t="s">
        <v>299</v>
      </c>
      <c r="E221" s="3" t="s">
        <v>17</v>
      </c>
      <c r="F221" s="3">
        <v>15.994999999999999</v>
      </c>
      <c r="G221" s="3">
        <f t="shared" ref="G221" si="46">F221/F222</f>
        <v>0.71800511738564432</v>
      </c>
      <c r="H221" s="308">
        <f t="shared" ref="H221" si="47">(G221-0.94)/0.52</f>
        <v>-0.42691323579683771</v>
      </c>
      <c r="I221" s="55" t="s">
        <v>64</v>
      </c>
    </row>
    <row r="222" spans="1:13" ht="15.75" customHeight="1">
      <c r="A222" s="3"/>
      <c r="B222" s="3"/>
      <c r="C222" s="3"/>
      <c r="D222" s="3" t="s">
        <v>299</v>
      </c>
      <c r="E222" s="3" t="s">
        <v>19</v>
      </c>
      <c r="F222" s="3">
        <v>22.277000000000001</v>
      </c>
      <c r="G222" s="3"/>
      <c r="H222" s="308"/>
    </row>
    <row r="223" spans="1:13" ht="15.75" customHeight="1">
      <c r="A223" s="3" t="s">
        <v>324</v>
      </c>
      <c r="B223" s="3" t="s">
        <v>326</v>
      </c>
      <c r="C223" s="3" t="s">
        <v>21</v>
      </c>
      <c r="D223" s="3" t="s">
        <v>303</v>
      </c>
      <c r="E223" s="3" t="s">
        <v>17</v>
      </c>
      <c r="F223" s="3">
        <v>15.916</v>
      </c>
      <c r="G223" s="3">
        <f t="shared" ref="G223" si="48">F223/F224</f>
        <v>0.64518221249341279</v>
      </c>
      <c r="H223" s="308">
        <f t="shared" ref="H223" si="49">(G223-0.94)/0.52</f>
        <v>-0.56695728366651377</v>
      </c>
      <c r="I223" s="55" t="s">
        <v>64</v>
      </c>
      <c r="J223" s="146" t="s">
        <v>327</v>
      </c>
      <c r="K223" s="146" t="s">
        <v>324</v>
      </c>
      <c r="L223" s="165">
        <v>44980</v>
      </c>
      <c r="M223" s="181" t="s">
        <v>24</v>
      </c>
    </row>
    <row r="224" spans="1:13" ht="15.75" customHeight="1">
      <c r="A224" s="3"/>
      <c r="B224" s="3"/>
      <c r="C224" s="3"/>
      <c r="D224" s="3" t="s">
        <v>303</v>
      </c>
      <c r="E224" s="3" t="s">
        <v>19</v>
      </c>
      <c r="F224" s="3">
        <v>24.669</v>
      </c>
      <c r="G224" s="3"/>
      <c r="H224" s="308"/>
    </row>
    <row r="225" spans="1:13" ht="15.75" customHeight="1">
      <c r="A225" s="3" t="s">
        <v>324</v>
      </c>
      <c r="B225" s="3" t="s">
        <v>328</v>
      </c>
      <c r="C225" s="3" t="s">
        <v>45</v>
      </c>
      <c r="D225" s="3" t="s">
        <v>223</v>
      </c>
      <c r="E225" s="3" t="s">
        <v>17</v>
      </c>
      <c r="F225" s="3">
        <v>16.113</v>
      </c>
      <c r="G225" s="3">
        <f t="shared" ref="G225" si="50">F225/F226</f>
        <v>0.64992739593417226</v>
      </c>
      <c r="H225" s="308">
        <f t="shared" ref="H225" si="51">(G225-0.94)/0.52</f>
        <v>-0.5578319308958225</v>
      </c>
      <c r="I225" s="55" t="s">
        <v>64</v>
      </c>
      <c r="J225" s="146" t="s">
        <v>329</v>
      </c>
      <c r="K225" s="146" t="s">
        <v>324</v>
      </c>
      <c r="L225" s="165">
        <v>45020</v>
      </c>
      <c r="M225" s="181" t="s">
        <v>24</v>
      </c>
    </row>
    <row r="226" spans="1:13" ht="15.75" customHeight="1">
      <c r="A226" s="3"/>
      <c r="B226" s="3"/>
      <c r="C226" s="3"/>
      <c r="D226" s="3" t="s">
        <v>223</v>
      </c>
      <c r="E226" s="3" t="s">
        <v>19</v>
      </c>
      <c r="F226" s="3">
        <v>24.792000000000002</v>
      </c>
      <c r="G226" s="3"/>
      <c r="H226" s="308"/>
    </row>
    <row r="227" spans="1:13" ht="15.75" customHeight="1">
      <c r="A227" s="68" t="s">
        <v>324</v>
      </c>
      <c r="B227" s="66" t="s">
        <v>330</v>
      </c>
      <c r="C227" s="66" t="s">
        <v>45</v>
      </c>
      <c r="D227" s="66" t="s">
        <v>59</v>
      </c>
      <c r="E227" s="66" t="s">
        <v>17</v>
      </c>
      <c r="F227" s="66">
        <v>16.789000000000001</v>
      </c>
      <c r="G227" s="66">
        <v>0.65700086099999999</v>
      </c>
      <c r="H227" s="339">
        <v>-0.54400000000000004</v>
      </c>
      <c r="I227" s="55" t="s">
        <v>147</v>
      </c>
    </row>
    <row r="228" spans="1:13" ht="15.75" customHeight="1">
      <c r="A228" s="70" t="s">
        <v>29</v>
      </c>
      <c r="B228" s="65" t="s">
        <v>29</v>
      </c>
      <c r="C228" s="65" t="s">
        <v>29</v>
      </c>
      <c r="D228" s="65" t="s">
        <v>59</v>
      </c>
      <c r="E228" s="65" t="s">
        <v>19</v>
      </c>
      <c r="F228" s="65">
        <v>25.553999999999998</v>
      </c>
      <c r="G228" s="65" t="s">
        <v>29</v>
      </c>
      <c r="H228" s="65" t="s">
        <v>29</v>
      </c>
    </row>
    <row r="233" spans="1:13" s="122" customFormat="1" ht="15.75" customHeight="1">
      <c r="C233" s="126"/>
      <c r="F233" s="126"/>
      <c r="H233" s="126"/>
      <c r="J233" s="126"/>
      <c r="K233" s="126"/>
      <c r="L233" s="126"/>
      <c r="M233" s="126"/>
    </row>
    <row r="234" spans="1:13" ht="15.75" customHeight="1">
      <c r="A234" s="3" t="s">
        <v>331</v>
      </c>
      <c r="B234" s="3" t="s">
        <v>332</v>
      </c>
      <c r="C234" s="3" t="s">
        <v>38</v>
      </c>
      <c r="D234" s="3" t="s">
        <v>16</v>
      </c>
      <c r="E234" s="3" t="s">
        <v>17</v>
      </c>
      <c r="F234" s="3">
        <v>16.878</v>
      </c>
      <c r="G234" s="3">
        <f t="shared" ref="G234" si="52">F234/F235</f>
        <v>0.78469477892975037</v>
      </c>
      <c r="H234" s="308">
        <f t="shared" ref="H234" si="53">(G234-0.94)/0.52</f>
        <v>-0.29866388667355687</v>
      </c>
      <c r="I234" s="55" t="s">
        <v>232</v>
      </c>
    </row>
    <row r="235" spans="1:13" ht="15.75" customHeight="1">
      <c r="A235" s="7"/>
      <c r="B235" s="7"/>
      <c r="C235" s="7"/>
      <c r="D235" s="3" t="s">
        <v>16</v>
      </c>
      <c r="E235" s="3" t="s">
        <v>19</v>
      </c>
      <c r="F235" s="3">
        <v>21.509</v>
      </c>
      <c r="G235" s="3"/>
      <c r="H235" s="308"/>
    </row>
    <row r="236" spans="1:13" ht="15.75" customHeight="1">
      <c r="A236" s="3" t="s">
        <v>331</v>
      </c>
      <c r="B236" s="3" t="s">
        <v>333</v>
      </c>
      <c r="C236" s="3" t="s">
        <v>21</v>
      </c>
      <c r="D236" s="3" t="s">
        <v>22</v>
      </c>
      <c r="E236" s="3" t="s">
        <v>17</v>
      </c>
      <c r="F236" s="3">
        <v>16.451000000000001</v>
      </c>
      <c r="G236" s="3">
        <f t="shared" ref="G236" si="54">F236/F237</f>
        <v>0.67215526046986718</v>
      </c>
      <c r="H236" s="308">
        <f t="shared" ref="H236" si="55">(G236-0.94)/0.52</f>
        <v>-0.51508603755794757</v>
      </c>
      <c r="I236" s="55" t="s">
        <v>232</v>
      </c>
    </row>
    <row r="237" spans="1:13" ht="15.75" customHeight="1">
      <c r="A237" s="7"/>
      <c r="B237" s="7"/>
      <c r="C237" s="7"/>
      <c r="D237" s="3" t="s">
        <v>22</v>
      </c>
      <c r="E237" s="3" t="s">
        <v>19</v>
      </c>
      <c r="F237" s="3">
        <v>24.475000000000001</v>
      </c>
      <c r="G237" s="3"/>
      <c r="H237" s="308"/>
    </row>
    <row r="238" spans="1:13" ht="15.75" customHeight="1">
      <c r="A238" s="3" t="s">
        <v>331</v>
      </c>
      <c r="B238" s="3" t="s">
        <v>334</v>
      </c>
      <c r="C238" s="3" t="s">
        <v>45</v>
      </c>
      <c r="D238" s="3" t="s">
        <v>335</v>
      </c>
      <c r="E238" s="3" t="s">
        <v>17</v>
      </c>
      <c r="F238" s="3">
        <v>17.548999999999999</v>
      </c>
      <c r="G238" s="3">
        <f t="shared" ref="G238" si="56">F238/F239</f>
        <v>0.71149401986620719</v>
      </c>
      <c r="H238" s="308">
        <f t="shared" ref="H238" si="57">(G238-0.94)/0.52</f>
        <v>-0.43943457718037066</v>
      </c>
      <c r="I238" s="55" t="s">
        <v>232</v>
      </c>
      <c r="J238" s="146" t="s">
        <v>336</v>
      </c>
      <c r="K238" s="146" t="s">
        <v>331</v>
      </c>
      <c r="L238" s="165">
        <v>45056</v>
      </c>
      <c r="M238" s="181" t="s">
        <v>24</v>
      </c>
    </row>
    <row r="239" spans="1:13" ht="15.75" customHeight="1">
      <c r="A239" s="7"/>
      <c r="B239" s="7"/>
      <c r="C239" s="7"/>
      <c r="D239" s="3" t="s">
        <v>335</v>
      </c>
      <c r="E239" s="3" t="s">
        <v>19</v>
      </c>
      <c r="F239" s="3">
        <v>24.664999999999999</v>
      </c>
      <c r="G239" s="3"/>
      <c r="H239" s="308"/>
    </row>
    <row r="246" spans="1:13" s="122" customFormat="1" ht="15.75" customHeight="1">
      <c r="C246" s="126"/>
      <c r="F246" s="126"/>
      <c r="H246" s="126"/>
      <c r="J246" s="126"/>
      <c r="K246" s="126"/>
      <c r="L246" s="126"/>
      <c r="M246" s="126"/>
    </row>
    <row r="247" spans="1:13" ht="15.75" customHeight="1">
      <c r="A247" t="s">
        <v>337</v>
      </c>
      <c r="B247" t="s">
        <v>250</v>
      </c>
      <c r="C247" s="51" t="s">
        <v>38</v>
      </c>
    </row>
    <row r="253" spans="1:13" ht="15.75" customHeight="1">
      <c r="A253" s="387" t="s">
        <v>338</v>
      </c>
      <c r="B253" s="391" t="s">
        <v>250</v>
      </c>
      <c r="C253" s="387" t="s">
        <v>38</v>
      </c>
      <c r="D253" s="387" t="s">
        <v>81</v>
      </c>
      <c r="E253" s="387" t="s">
        <v>17</v>
      </c>
      <c r="F253" s="387">
        <v>19.488</v>
      </c>
      <c r="G253" s="387">
        <v>0.80019709299999997</v>
      </c>
      <c r="H253" s="389">
        <v>-0.26900000000000002</v>
      </c>
      <c r="I253" t="s">
        <v>293</v>
      </c>
    </row>
    <row r="254" spans="1:13" ht="15.75" customHeight="1">
      <c r="A254" s="380" t="s">
        <v>29</v>
      </c>
      <c r="B254" s="379" t="s">
        <v>29</v>
      </c>
      <c r="C254" s="380" t="s">
        <v>29</v>
      </c>
      <c r="D254" s="380" t="s">
        <v>81</v>
      </c>
      <c r="E254" s="380" t="s">
        <v>19</v>
      </c>
      <c r="F254" s="380">
        <v>24.353999999999999</v>
      </c>
      <c r="G254" s="380" t="s">
        <v>29</v>
      </c>
      <c r="H254" s="380" t="s">
        <v>29</v>
      </c>
    </row>
    <row r="255" spans="1:13" ht="15.75" customHeight="1">
      <c r="A255" s="380" t="s">
        <v>338</v>
      </c>
      <c r="B255" s="379" t="s">
        <v>339</v>
      </c>
      <c r="C255" s="380" t="s">
        <v>21</v>
      </c>
      <c r="D255" s="380" t="s">
        <v>83</v>
      </c>
      <c r="E255" s="380" t="s">
        <v>17</v>
      </c>
      <c r="F255" s="380">
        <v>22.983000000000001</v>
      </c>
      <c r="G255" s="380">
        <v>0.96231629200000002</v>
      </c>
      <c r="H255" s="390">
        <v>4.2999999999999997E-2</v>
      </c>
      <c r="I255" t="s">
        <v>293</v>
      </c>
    </row>
    <row r="256" spans="1:13" ht="15.75" customHeight="1">
      <c r="A256" s="380" t="s">
        <v>29</v>
      </c>
      <c r="B256" s="379" t="s">
        <v>29</v>
      </c>
      <c r="C256" s="380" t="s">
        <v>29</v>
      </c>
      <c r="D256" s="380" t="s">
        <v>83</v>
      </c>
      <c r="E256" s="380" t="s">
        <v>19</v>
      </c>
      <c r="F256" s="380">
        <v>23.882999999999999</v>
      </c>
      <c r="G256" s="380" t="s">
        <v>29</v>
      </c>
      <c r="H256" s="380" t="s">
        <v>29</v>
      </c>
    </row>
    <row r="257" spans="1:13" ht="15.75" customHeight="1">
      <c r="A257" s="380" t="s">
        <v>338</v>
      </c>
      <c r="B257" s="379" t="s">
        <v>254</v>
      </c>
      <c r="C257" s="380" t="s">
        <v>45</v>
      </c>
      <c r="D257" s="380" t="s">
        <v>27</v>
      </c>
      <c r="E257" s="380" t="s">
        <v>17</v>
      </c>
      <c r="F257" s="380">
        <v>26.344999999999999</v>
      </c>
      <c r="G257" s="380">
        <v>1.2593814240000001</v>
      </c>
      <c r="H257" s="390">
        <v>0.61399999999999999</v>
      </c>
      <c r="I257" t="s">
        <v>293</v>
      </c>
    </row>
    <row r="258" spans="1:13" ht="15.75" customHeight="1">
      <c r="A258" s="380" t="s">
        <v>29</v>
      </c>
      <c r="D258" s="380" t="s">
        <v>27</v>
      </c>
      <c r="E258" s="380" t="s">
        <v>19</v>
      </c>
      <c r="F258" s="380">
        <v>20.919</v>
      </c>
      <c r="G258" s="380" t="s">
        <v>29</v>
      </c>
      <c r="H258" s="380" t="s">
        <v>29</v>
      </c>
    </row>
    <row r="259" spans="1:13" s="122" customFormat="1" ht="15.75" customHeight="1">
      <c r="C259" s="126"/>
      <c r="F259" s="126"/>
      <c r="H259" s="126"/>
      <c r="J259" s="126"/>
      <c r="K259" s="126"/>
      <c r="L259" s="126"/>
      <c r="M259" s="126"/>
    </row>
    <row r="260" spans="1:13" ht="15.75" customHeight="1">
      <c r="A260" s="68" t="s">
        <v>340</v>
      </c>
      <c r="B260" s="66" t="s">
        <v>309</v>
      </c>
      <c r="C260" s="66" t="s">
        <v>38</v>
      </c>
      <c r="D260" s="66" t="s">
        <v>27</v>
      </c>
      <c r="E260" s="66" t="s">
        <v>17</v>
      </c>
      <c r="F260" s="66">
        <v>19.690000000000001</v>
      </c>
      <c r="G260" s="66">
        <v>0.84699100999999999</v>
      </c>
      <c r="H260" s="339">
        <v>-0.17899999999999999</v>
      </c>
      <c r="I260" s="55" t="s">
        <v>147</v>
      </c>
    </row>
    <row r="261" spans="1:13" ht="15.75" customHeight="1">
      <c r="A261" s="70" t="s">
        <v>29</v>
      </c>
      <c r="B261" s="65" t="s">
        <v>29</v>
      </c>
      <c r="C261" s="65" t="s">
        <v>29</v>
      </c>
      <c r="D261" s="65" t="s">
        <v>27</v>
      </c>
      <c r="E261" s="65" t="s">
        <v>19</v>
      </c>
      <c r="F261" s="65">
        <v>23.247</v>
      </c>
      <c r="G261" s="65" t="s">
        <v>29</v>
      </c>
      <c r="H261" s="65" t="s">
        <v>29</v>
      </c>
    </row>
    <row r="262" spans="1:13" ht="15.75" customHeight="1">
      <c r="A262" s="70" t="s">
        <v>340</v>
      </c>
      <c r="B262" s="65" t="s">
        <v>311</v>
      </c>
      <c r="C262" s="65" t="s">
        <v>21</v>
      </c>
      <c r="D262" s="65" t="s">
        <v>31</v>
      </c>
      <c r="E262" s="65" t="s">
        <v>17</v>
      </c>
      <c r="F262" s="65">
        <v>17.597000000000001</v>
      </c>
      <c r="G262" s="65">
        <v>0.76896521600000001</v>
      </c>
      <c r="H262" s="340">
        <v>-0.32900000000000001</v>
      </c>
      <c r="I262" s="55" t="s">
        <v>147</v>
      </c>
    </row>
    <row r="263" spans="1:13" ht="15.75" customHeight="1">
      <c r="A263" s="70" t="s">
        <v>29</v>
      </c>
      <c r="B263" s="65" t="s">
        <v>29</v>
      </c>
      <c r="C263" s="65" t="s">
        <v>29</v>
      </c>
      <c r="D263" s="65" t="s">
        <v>31</v>
      </c>
      <c r="E263" s="65" t="s">
        <v>19</v>
      </c>
      <c r="F263" s="65">
        <v>22.884</v>
      </c>
      <c r="G263" s="65" t="s">
        <v>29</v>
      </c>
      <c r="H263" s="65" t="s">
        <v>29</v>
      </c>
    </row>
    <row r="264" spans="1:13" ht="15.75" customHeight="1">
      <c r="A264" s="70" t="s">
        <v>340</v>
      </c>
      <c r="B264" s="65" t="s">
        <v>313</v>
      </c>
      <c r="C264" s="65" t="s">
        <v>45</v>
      </c>
      <c r="D264" s="65" t="s">
        <v>34</v>
      </c>
      <c r="E264" s="65" t="s">
        <v>17</v>
      </c>
      <c r="F264" s="65">
        <v>17.907</v>
      </c>
      <c r="G264" s="65">
        <v>0.83642393400000004</v>
      </c>
      <c r="H264" s="340">
        <v>-0.19900000000000001</v>
      </c>
      <c r="I264" s="55" t="s">
        <v>147</v>
      </c>
      <c r="J264" s="146" t="s">
        <v>341</v>
      </c>
      <c r="K264" s="146" t="s">
        <v>340</v>
      </c>
      <c r="L264" s="165">
        <v>45056</v>
      </c>
      <c r="M264" s="181" t="s">
        <v>24</v>
      </c>
    </row>
    <row r="265" spans="1:13" ht="15.75" customHeight="1">
      <c r="A265" s="70" t="s">
        <v>29</v>
      </c>
      <c r="B265" s="65" t="s">
        <v>29</v>
      </c>
      <c r="C265" s="65" t="s">
        <v>29</v>
      </c>
      <c r="D265" s="65" t="s">
        <v>34</v>
      </c>
      <c r="E265" s="65" t="s">
        <v>19</v>
      </c>
      <c r="F265" s="65">
        <v>21.408999999999999</v>
      </c>
      <c r="G265" s="65" t="s">
        <v>29</v>
      </c>
      <c r="H265" s="65" t="s">
        <v>29</v>
      </c>
    </row>
    <row r="273" spans="1:13" s="122" customFormat="1" ht="15.75" customHeight="1">
      <c r="C273" s="126"/>
      <c r="F273" s="126"/>
      <c r="H273" s="126"/>
      <c r="J273" s="126"/>
      <c r="K273" s="126"/>
      <c r="L273" s="126"/>
      <c r="M273" s="126"/>
    </row>
    <row r="274" spans="1:13" ht="15.75" customHeight="1">
      <c r="A274" s="3" t="s">
        <v>342</v>
      </c>
      <c r="B274" s="3" t="s">
        <v>201</v>
      </c>
      <c r="C274" s="3" t="s">
        <v>38</v>
      </c>
      <c r="D274" s="4" t="s">
        <v>81</v>
      </c>
      <c r="E274" s="4" t="s">
        <v>17</v>
      </c>
      <c r="F274" s="4">
        <v>20.003</v>
      </c>
      <c r="G274" s="3">
        <f t="shared" ref="G274:G278" si="58">F274/F275</f>
        <v>0.7828350031308704</v>
      </c>
      <c r="H274" s="189">
        <f t="shared" ref="H274:H278" si="59">(G274-0.94)/0.52</f>
        <v>-0.30224037859447989</v>
      </c>
      <c r="I274" s="55" t="s">
        <v>245</v>
      </c>
    </row>
    <row r="275" spans="1:13" ht="15.75" customHeight="1">
      <c r="A275" s="4"/>
      <c r="B275" s="4"/>
      <c r="C275" s="4"/>
      <c r="D275" s="4" t="s">
        <v>81</v>
      </c>
      <c r="E275" s="4" t="s">
        <v>19</v>
      </c>
      <c r="F275" s="4">
        <v>25.552</v>
      </c>
      <c r="G275" s="3"/>
      <c r="H275" s="189"/>
    </row>
    <row r="276" spans="1:13" ht="15.75" customHeight="1">
      <c r="A276" s="3" t="s">
        <v>342</v>
      </c>
      <c r="B276" s="3" t="s">
        <v>209</v>
      </c>
      <c r="C276" s="3" t="s">
        <v>21</v>
      </c>
      <c r="D276" s="4" t="s">
        <v>83</v>
      </c>
      <c r="E276" s="4" t="s">
        <v>17</v>
      </c>
      <c r="F276" s="4">
        <v>17.337</v>
      </c>
      <c r="G276" s="3">
        <f t="shared" si="58"/>
        <v>0.73117962127282699</v>
      </c>
      <c r="H276" s="189">
        <f t="shared" si="59"/>
        <v>-0.40157765139840951</v>
      </c>
      <c r="I276" s="55" t="s">
        <v>245</v>
      </c>
    </row>
    <row r="277" spans="1:13" ht="15.75" customHeight="1">
      <c r="A277" s="4"/>
      <c r="B277" s="4"/>
      <c r="C277" s="4"/>
      <c r="D277" s="4" t="s">
        <v>83</v>
      </c>
      <c r="E277" s="4" t="s">
        <v>19</v>
      </c>
      <c r="F277" s="4">
        <v>23.710999999999999</v>
      </c>
      <c r="G277" s="3"/>
      <c r="H277" s="189"/>
    </row>
    <row r="278" spans="1:13" ht="15.75" customHeight="1">
      <c r="A278" s="3" t="s">
        <v>342</v>
      </c>
      <c r="B278" s="3" t="s">
        <v>210</v>
      </c>
      <c r="C278" s="3" t="s">
        <v>45</v>
      </c>
      <c r="D278" s="4" t="s">
        <v>27</v>
      </c>
      <c r="E278" s="4" t="s">
        <v>17</v>
      </c>
      <c r="F278" s="4">
        <v>19.16</v>
      </c>
      <c r="G278" s="3">
        <f t="shared" si="58"/>
        <v>0.82327160228591068</v>
      </c>
      <c r="H278" s="189">
        <f t="shared" si="59"/>
        <v>-0.22447768791171013</v>
      </c>
      <c r="I278" s="55" t="s">
        <v>245</v>
      </c>
    </row>
    <row r="279" spans="1:13" ht="15.75" customHeight="1">
      <c r="A279" s="4"/>
      <c r="B279" s="4"/>
      <c r="C279" s="4"/>
      <c r="D279" s="4" t="s">
        <v>27</v>
      </c>
      <c r="E279" s="4" t="s">
        <v>19</v>
      </c>
      <c r="F279" s="4">
        <v>23.273</v>
      </c>
      <c r="G279" s="3"/>
      <c r="H279" s="189"/>
    </row>
    <row r="280" spans="1:13" ht="15.75" customHeight="1">
      <c r="A280" s="387" t="s">
        <v>343</v>
      </c>
      <c r="B280" s="391" t="s">
        <v>344</v>
      </c>
      <c r="C280" s="387" t="s">
        <v>38</v>
      </c>
      <c r="D280" s="387" t="s">
        <v>31</v>
      </c>
      <c r="E280" s="387" t="s">
        <v>17</v>
      </c>
      <c r="F280" s="387">
        <v>18.535</v>
      </c>
      <c r="G280" s="387">
        <v>0.88443002299999995</v>
      </c>
      <c r="H280" s="389">
        <v>-0.107</v>
      </c>
      <c r="I280" t="s">
        <v>293</v>
      </c>
    </row>
    <row r="281" spans="1:13" ht="15.75" customHeight="1">
      <c r="A281" s="380" t="s">
        <v>29</v>
      </c>
      <c r="B281" s="379" t="s">
        <v>29</v>
      </c>
      <c r="C281" s="380" t="s">
        <v>29</v>
      </c>
      <c r="D281" s="380" t="s">
        <v>31</v>
      </c>
      <c r="E281" s="380" t="s">
        <v>19</v>
      </c>
      <c r="F281" s="380">
        <v>20.957000000000001</v>
      </c>
      <c r="G281" s="380" t="s">
        <v>29</v>
      </c>
      <c r="H281" s="380" t="s">
        <v>29</v>
      </c>
    </row>
    <row r="282" spans="1:13" ht="15.75" customHeight="1">
      <c r="A282" s="380" t="s">
        <v>343</v>
      </c>
      <c r="B282" s="379" t="s">
        <v>345</v>
      </c>
      <c r="C282" s="380" t="s">
        <v>21</v>
      </c>
      <c r="D282" s="380" t="s">
        <v>34</v>
      </c>
      <c r="E282" s="380" t="s">
        <v>17</v>
      </c>
      <c r="F282" s="380">
        <v>17.312999999999999</v>
      </c>
      <c r="G282" s="380">
        <v>0.64574241899999996</v>
      </c>
      <c r="H282" s="389">
        <v>-0.56599999999999995</v>
      </c>
      <c r="I282" t="s">
        <v>293</v>
      </c>
    </row>
    <row r="283" spans="1:13" ht="15.75" customHeight="1">
      <c r="A283" s="380" t="s">
        <v>29</v>
      </c>
      <c r="B283" s="379" t="s">
        <v>29</v>
      </c>
      <c r="C283" s="380" t="s">
        <v>29</v>
      </c>
      <c r="D283" s="380" t="s">
        <v>34</v>
      </c>
      <c r="E283" s="380" t="s">
        <v>19</v>
      </c>
      <c r="F283" s="380">
        <v>26.811</v>
      </c>
      <c r="G283" s="380" t="s">
        <v>29</v>
      </c>
      <c r="H283" s="380" t="s">
        <v>29</v>
      </c>
    </row>
    <row r="284" spans="1:13" ht="15.75" customHeight="1">
      <c r="A284" s="380" t="s">
        <v>343</v>
      </c>
      <c r="B284" s="379" t="s">
        <v>346</v>
      </c>
      <c r="C284" s="380" t="s">
        <v>45</v>
      </c>
      <c r="D284" s="380" t="s">
        <v>105</v>
      </c>
      <c r="E284" s="380" t="s">
        <v>17</v>
      </c>
      <c r="F284" s="380">
        <v>17.55</v>
      </c>
      <c r="G284" s="380">
        <v>0.69187100800000001</v>
      </c>
      <c r="H284" s="389">
        <v>-0.47699999999999998</v>
      </c>
      <c r="I284" t="s">
        <v>347</v>
      </c>
    </row>
    <row r="285" spans="1:13" ht="15.75" customHeight="1">
      <c r="A285" s="380" t="s">
        <v>29</v>
      </c>
      <c r="B285" s="379" t="s">
        <v>29</v>
      </c>
      <c r="C285" s="380" t="s">
        <v>29</v>
      </c>
      <c r="D285" s="380" t="s">
        <v>105</v>
      </c>
      <c r="E285" s="380" t="s">
        <v>19</v>
      </c>
      <c r="F285" s="380">
        <v>25.366</v>
      </c>
      <c r="G285" s="380" t="s">
        <v>29</v>
      </c>
      <c r="H285" s="380" t="s">
        <v>29</v>
      </c>
    </row>
    <row r="286" spans="1:13" ht="15.75" customHeight="1">
      <c r="A286" s="122"/>
      <c r="B286" s="122"/>
      <c r="C286" s="126"/>
      <c r="D286" s="122"/>
      <c r="E286" s="122"/>
      <c r="F286" s="126"/>
      <c r="G286" s="122"/>
      <c r="H286" s="126"/>
      <c r="I286" s="122"/>
      <c r="J286" s="126"/>
      <c r="K286" s="126"/>
      <c r="L286" s="126"/>
      <c r="M286" s="126"/>
    </row>
    <row r="287" spans="1:13" ht="15.75" customHeight="1">
      <c r="A287" s="57" t="s">
        <v>348</v>
      </c>
      <c r="B287" s="209" t="s">
        <v>349</v>
      </c>
      <c r="C287" s="57" t="s">
        <v>45</v>
      </c>
      <c r="D287" s="58" t="s">
        <v>350</v>
      </c>
      <c r="E287" s="209" t="s">
        <v>17</v>
      </c>
      <c r="F287" s="209">
        <v>20.859000000000002</v>
      </c>
      <c r="G287" s="57">
        <v>0.73061295999999998</v>
      </c>
      <c r="H287" s="361">
        <v>-0.40300000000000002</v>
      </c>
      <c r="I287" t="s">
        <v>351</v>
      </c>
    </row>
    <row r="288" spans="1:13" ht="15.75" customHeight="1">
      <c r="A288" s="60" t="s">
        <v>29</v>
      </c>
      <c r="B288" s="209"/>
      <c r="C288" s="60" t="s">
        <v>29</v>
      </c>
      <c r="D288" s="61" t="s">
        <v>29</v>
      </c>
      <c r="E288" s="209" t="s">
        <v>19</v>
      </c>
      <c r="F288" s="209">
        <v>28.55</v>
      </c>
      <c r="G288" s="60" t="s">
        <v>29</v>
      </c>
      <c r="H288" s="61" t="s">
        <v>29</v>
      </c>
    </row>
    <row r="289" spans="1:8" ht="15.75" customHeight="1">
      <c r="A289" s="60" t="s">
        <v>348</v>
      </c>
      <c r="B289" s="209" t="s">
        <v>352</v>
      </c>
      <c r="C289" s="60" t="s">
        <v>45</v>
      </c>
      <c r="D289" s="61" t="s">
        <v>353</v>
      </c>
      <c r="E289" s="209" t="s">
        <v>17</v>
      </c>
      <c r="F289" s="209">
        <v>17.271999999999998</v>
      </c>
      <c r="G289" s="60">
        <v>0.80676351099999999</v>
      </c>
      <c r="H289" s="361">
        <v>-0.25600000000000001</v>
      </c>
    </row>
    <row r="290" spans="1:8" ht="15.75" customHeight="1">
      <c r="A290" s="60" t="s">
        <v>29</v>
      </c>
      <c r="B290" s="209"/>
      <c r="C290" s="60" t="s">
        <v>29</v>
      </c>
      <c r="D290" s="61" t="s">
        <v>29</v>
      </c>
      <c r="E290" s="209" t="s">
        <v>19</v>
      </c>
      <c r="F290" s="209">
        <v>21.408999999999999</v>
      </c>
      <c r="G290" s="60" t="s">
        <v>29</v>
      </c>
      <c r="H290" s="61" t="s">
        <v>29</v>
      </c>
    </row>
    <row r="291" spans="1:8" ht="15.75" customHeight="1">
      <c r="A291" s="60" t="s">
        <v>354</v>
      </c>
      <c r="B291" s="209" t="s">
        <v>355</v>
      </c>
      <c r="C291" s="60" t="s">
        <v>45</v>
      </c>
      <c r="D291" s="61" t="s">
        <v>353</v>
      </c>
      <c r="E291" s="209" t="s">
        <v>17</v>
      </c>
      <c r="F291" s="209">
        <v>18.869</v>
      </c>
      <c r="G291" s="60">
        <v>0.84075212799999999</v>
      </c>
      <c r="H291" s="361">
        <v>-0.191</v>
      </c>
    </row>
    <row r="292" spans="1:8" ht="15.75" customHeight="1">
      <c r="A292" s="60" t="s">
        <v>29</v>
      </c>
      <c r="B292" s="209"/>
      <c r="C292" s="60" t="s">
        <v>29</v>
      </c>
      <c r="D292" s="61" t="s">
        <v>29</v>
      </c>
      <c r="E292" s="209" t="s">
        <v>19</v>
      </c>
      <c r="F292" s="209">
        <v>22.443000000000001</v>
      </c>
      <c r="G292" s="60" t="s">
        <v>29</v>
      </c>
      <c r="H292" s="61" t="s">
        <v>29</v>
      </c>
    </row>
    <row r="293" spans="1:8" ht="15.75" customHeight="1">
      <c r="A293" s="57" t="s">
        <v>354</v>
      </c>
      <c r="B293" s="209" t="s">
        <v>356</v>
      </c>
      <c r="C293" s="57" t="s">
        <v>45</v>
      </c>
      <c r="D293" s="58" t="s">
        <v>357</v>
      </c>
      <c r="E293" s="209" t="s">
        <v>17</v>
      </c>
      <c r="F293" s="209">
        <v>17.795999999999999</v>
      </c>
      <c r="G293" s="57">
        <v>0.78248252200000001</v>
      </c>
      <c r="H293" s="361">
        <v>-0.30299999999999999</v>
      </c>
    </row>
    <row r="294" spans="1:8" ht="15.75" customHeight="1">
      <c r="A294" s="60" t="s">
        <v>29</v>
      </c>
      <c r="B294" s="209"/>
      <c r="C294" s="60" t="s">
        <v>29</v>
      </c>
      <c r="D294" s="61" t="s">
        <v>29</v>
      </c>
      <c r="E294" s="209" t="s">
        <v>19</v>
      </c>
      <c r="F294" s="209">
        <v>22.742999999999999</v>
      </c>
      <c r="G294" s="60" t="s">
        <v>29</v>
      </c>
      <c r="H294" s="61" t="s">
        <v>29</v>
      </c>
    </row>
  </sheetData>
  <conditionalFormatting sqref="H23:H26">
    <cfRule type="cellIs" dxfId="144" priority="17" operator="lessThan">
      <formula>0</formula>
    </cfRule>
    <cfRule type="cellIs" dxfId="143" priority="18" operator="greaterThan">
      <formula>0</formula>
    </cfRule>
  </conditionalFormatting>
  <conditionalFormatting sqref="H49:H52">
    <cfRule type="cellIs" dxfId="142" priority="21" operator="lessThan">
      <formula>0</formula>
    </cfRule>
    <cfRule type="cellIs" dxfId="141" priority="22" operator="greaterThan">
      <formula>0</formula>
    </cfRule>
  </conditionalFormatting>
  <conditionalFormatting sqref="H76:H77">
    <cfRule type="cellIs" dxfId="140" priority="11" operator="lessThan">
      <formula>0</formula>
    </cfRule>
    <cfRule type="cellIs" dxfId="139" priority="12" operator="greaterThan">
      <formula>0</formula>
    </cfRule>
  </conditionalFormatting>
  <conditionalFormatting sqref="H98:H99">
    <cfRule type="cellIs" dxfId="138" priority="5" operator="lessThan">
      <formula>0</formula>
    </cfRule>
    <cfRule type="cellIs" dxfId="137" priority="6" operator="greaterThan">
      <formula>0</formula>
    </cfRule>
  </conditionalFormatting>
  <conditionalFormatting sqref="H102:H107">
    <cfRule type="cellIs" dxfId="136" priority="3" operator="lessThan">
      <formula>0</formula>
    </cfRule>
    <cfRule type="cellIs" dxfId="135" priority="4" operator="greaterThan">
      <formula>0</formula>
    </cfRule>
  </conditionalFormatting>
  <conditionalFormatting sqref="H129:H130">
    <cfRule type="cellIs" dxfId="134" priority="9" operator="lessThan">
      <formula>0</formula>
    </cfRule>
    <cfRule type="cellIs" dxfId="133" priority="10" operator="greaterThan">
      <formula>0</formula>
    </cfRule>
  </conditionalFormatting>
  <conditionalFormatting sqref="H132:H137">
    <cfRule type="cellIs" dxfId="132" priority="15" operator="lessThan">
      <formula>0</formula>
    </cfRule>
    <cfRule type="cellIs" dxfId="131" priority="16" operator="greaterThan">
      <formula>0</formula>
    </cfRule>
  </conditionalFormatting>
  <conditionalFormatting sqref="H188:H193">
    <cfRule type="cellIs" dxfId="130" priority="23" operator="lessThan">
      <formula>0</formula>
    </cfRule>
    <cfRule type="cellIs" dxfId="129" priority="24" operator="greaterThan">
      <formula>0</formula>
    </cfRule>
  </conditionalFormatting>
  <conditionalFormatting sqref="H195:H200">
    <cfRule type="cellIs" dxfId="128" priority="27" operator="lessThan">
      <formula>0</formula>
    </cfRule>
    <cfRule type="cellIs" dxfId="127" priority="28" operator="greaterThan">
      <formula>0</formula>
    </cfRule>
  </conditionalFormatting>
  <conditionalFormatting sqref="H208:H215">
    <cfRule type="cellIs" dxfId="126" priority="7" operator="lessThan">
      <formula>0</formula>
    </cfRule>
    <cfRule type="cellIs" dxfId="125" priority="8" operator="greaterThan">
      <formula>0</formula>
    </cfRule>
  </conditionalFormatting>
  <conditionalFormatting sqref="H221:H226">
    <cfRule type="cellIs" dxfId="124" priority="19" operator="lessThan">
      <formula>0</formula>
    </cfRule>
    <cfRule type="cellIs" dxfId="123" priority="20" operator="greaterThan">
      <formula>0</formula>
    </cfRule>
  </conditionalFormatting>
  <conditionalFormatting sqref="H234:H239">
    <cfRule type="cellIs" dxfId="122" priority="14" operator="greaterThan">
      <formula>0</formula>
    </cfRule>
    <cfRule type="cellIs" dxfId="121" priority="13" operator="lessThan">
      <formula>0</formula>
    </cfRule>
  </conditionalFormatting>
  <conditionalFormatting sqref="H274:H279">
    <cfRule type="cellIs" dxfId="120" priority="2" operator="greaterThan">
      <formula>0</formula>
    </cfRule>
    <cfRule type="cellIs" dxfId="119" priority="1" operator="lessThan">
      <formula>0</formula>
    </cfRule>
  </conditionalFormatting>
  <pageMargins left="0.7" right="0.7" top="0.75" bottom="0.75" header="0.3" footer="0.3"/>
  <pageSetup scale="9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F7FD-8DAF-4D22-8E68-1514EDA85B95}">
  <sheetPr>
    <pageSetUpPr fitToPage="1"/>
  </sheetPr>
  <dimension ref="A1:N779"/>
  <sheetViews>
    <sheetView workbookViewId="0">
      <pane ySplit="1" topLeftCell="A644" activePane="bottomLeft" state="frozen"/>
      <selection pane="bottomLeft" activeCell="I758" sqref="I758"/>
    </sheetView>
  </sheetViews>
  <sheetFormatPr baseColWidth="10" defaultColWidth="11" defaultRowHeight="16"/>
  <cols>
    <col min="1" max="1" width="18.5" style="51" bestFit="1" customWidth="1"/>
    <col min="2" max="2" width="29.6640625" style="51" bestFit="1" customWidth="1"/>
    <col min="3" max="3" width="17.33203125" style="51" bestFit="1" customWidth="1"/>
    <col min="4" max="4" width="12.6640625" style="51" bestFit="1" customWidth="1"/>
    <col min="5" max="5" width="16.6640625" style="51" bestFit="1" customWidth="1"/>
    <col min="6" max="6" width="19.6640625" style="51" bestFit="1" customWidth="1"/>
    <col min="7" max="7" width="18.1640625" style="51" bestFit="1" customWidth="1"/>
    <col min="8" max="8" width="9" style="51"/>
    <col min="9" max="9" width="14.1640625" style="51" bestFit="1" customWidth="1"/>
    <col min="10" max="10" width="12.1640625" style="51" customWidth="1"/>
    <col min="11" max="11" width="39.1640625" style="51" bestFit="1" customWidth="1"/>
    <col min="12" max="12" width="19" style="51" bestFit="1" customWidth="1"/>
    <col min="13" max="13" width="17.33203125" style="51" bestFit="1" customWidth="1"/>
    <col min="14" max="14" width="49" style="51" customWidth="1"/>
    <col min="15" max="16384" width="11" style="51"/>
  </cols>
  <sheetData>
    <row r="1" spans="1:14">
      <c r="A1" s="1" t="s">
        <v>0</v>
      </c>
      <c r="B1" s="1" t="s">
        <v>3</v>
      </c>
      <c r="C1" s="56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150" t="s">
        <v>7</v>
      </c>
      <c r="I1" s="89" t="s">
        <v>155</v>
      </c>
      <c r="J1" s="185" t="s">
        <v>358</v>
      </c>
      <c r="K1" s="88" t="s">
        <v>9</v>
      </c>
      <c r="L1" s="88" t="s">
        <v>10</v>
      </c>
      <c r="M1" s="88" t="s">
        <v>11</v>
      </c>
      <c r="N1" s="88" t="s">
        <v>12</v>
      </c>
    </row>
    <row r="2" spans="1:14" ht="15.75" customHeight="1">
      <c r="A2" s="70" t="s">
        <v>359</v>
      </c>
      <c r="B2" s="70" t="s">
        <v>360</v>
      </c>
      <c r="C2" s="68" t="s">
        <v>45</v>
      </c>
      <c r="D2" s="70" t="s">
        <v>52</v>
      </c>
      <c r="E2" s="70" t="s">
        <v>17</v>
      </c>
      <c r="F2" s="70">
        <v>19.483000000000001</v>
      </c>
      <c r="G2" s="70">
        <v>0.60214488799999999</v>
      </c>
      <c r="H2" s="108">
        <v>-0.65</v>
      </c>
    </row>
    <row r="3" spans="1:14">
      <c r="A3" s="70" t="s">
        <v>359</v>
      </c>
      <c r="B3" s="70" t="s">
        <v>360</v>
      </c>
      <c r="C3" s="97" t="s">
        <v>29</v>
      </c>
      <c r="D3" s="68" t="s">
        <v>52</v>
      </c>
      <c r="E3" s="68" t="s">
        <v>19</v>
      </c>
      <c r="F3" s="68">
        <v>32.356000000000002</v>
      </c>
      <c r="G3" s="68" t="s">
        <v>29</v>
      </c>
      <c r="H3" s="68" t="s">
        <v>29</v>
      </c>
    </row>
    <row r="4" spans="1:14">
      <c r="A4" s="68" t="s">
        <v>359</v>
      </c>
      <c r="B4" s="68" t="s">
        <v>361</v>
      </c>
      <c r="C4" s="68" t="s">
        <v>45</v>
      </c>
      <c r="D4" s="68" t="s">
        <v>55</v>
      </c>
      <c r="E4" s="68" t="s">
        <v>17</v>
      </c>
      <c r="F4" s="68">
        <v>22.364000000000001</v>
      </c>
      <c r="G4" s="68">
        <v>1.351299094</v>
      </c>
      <c r="H4" s="69">
        <v>0.79100000000000004</v>
      </c>
    </row>
    <row r="5" spans="1:14">
      <c r="A5" s="68" t="s">
        <v>359</v>
      </c>
      <c r="B5" s="68" t="s">
        <v>361</v>
      </c>
      <c r="C5" s="97" t="s">
        <v>29</v>
      </c>
      <c r="D5" s="68" t="s">
        <v>55</v>
      </c>
      <c r="E5" s="68" t="s">
        <v>19</v>
      </c>
      <c r="F5" s="68">
        <v>16.55</v>
      </c>
      <c r="G5" s="68" t="s">
        <v>29</v>
      </c>
      <c r="H5" s="68" t="s">
        <v>29</v>
      </c>
    </row>
    <row r="6" spans="1:14" s="126" customFormat="1">
      <c r="A6" s="132"/>
      <c r="B6" s="132"/>
      <c r="C6" s="133"/>
      <c r="D6" s="132"/>
      <c r="E6" s="132"/>
      <c r="F6" s="132"/>
      <c r="G6" s="132"/>
      <c r="H6" s="132"/>
    </row>
    <row r="7" spans="1:14">
      <c r="A7" s="3" t="s">
        <v>362</v>
      </c>
      <c r="B7" s="3" t="s">
        <v>363</v>
      </c>
      <c r="C7" s="4" t="s">
        <v>15</v>
      </c>
      <c r="D7" s="4" t="s">
        <v>68</v>
      </c>
      <c r="E7" s="4" t="s">
        <v>17</v>
      </c>
      <c r="F7" s="4">
        <v>33.750999999999998</v>
      </c>
      <c r="G7" s="5">
        <f>F7/F8</f>
        <v>1.984652475596848</v>
      </c>
      <c r="H7" s="6">
        <f>(G7-0.94)/0.52</f>
        <v>2.0089470684554769</v>
      </c>
      <c r="I7" s="72" t="s">
        <v>364</v>
      </c>
      <c r="J7" s="72" t="s">
        <v>365</v>
      </c>
    </row>
    <row r="8" spans="1:14">
      <c r="A8" s="153"/>
      <c r="B8" s="153"/>
      <c r="D8" s="154" t="s">
        <v>68</v>
      </c>
      <c r="E8" s="154" t="s">
        <v>19</v>
      </c>
      <c r="F8" s="154">
        <v>17.006</v>
      </c>
      <c r="G8" s="155"/>
      <c r="H8" s="156"/>
    </row>
    <row r="9" spans="1:14" ht="15.75" customHeight="1">
      <c r="A9" s="118" t="s">
        <v>362</v>
      </c>
      <c r="B9" s="118" t="s">
        <v>366</v>
      </c>
      <c r="C9" s="89" t="s">
        <v>30</v>
      </c>
      <c r="D9" s="89" t="s">
        <v>71</v>
      </c>
      <c r="E9" s="89" t="s">
        <v>17</v>
      </c>
      <c r="F9" s="89">
        <v>30.099</v>
      </c>
      <c r="G9" s="151">
        <f>F9/F10</f>
        <v>1.7785853572061694</v>
      </c>
      <c r="H9" s="152">
        <f>(G9-0.94)/0.52</f>
        <v>1.6126641484734028</v>
      </c>
      <c r="I9" s="72" t="s">
        <v>364</v>
      </c>
      <c r="K9" s="164" t="s">
        <v>367</v>
      </c>
      <c r="L9" s="163" t="s">
        <v>368</v>
      </c>
      <c r="M9" s="165">
        <v>44636</v>
      </c>
      <c r="N9" s="166" t="s">
        <v>297</v>
      </c>
    </row>
    <row r="10" spans="1:14">
      <c r="A10" s="35"/>
      <c r="B10" s="36"/>
      <c r="C10" s="52"/>
      <c r="D10" s="52" t="s">
        <v>71</v>
      </c>
      <c r="E10" s="52" t="s">
        <v>19</v>
      </c>
      <c r="F10" s="52">
        <v>16.922999999999998</v>
      </c>
      <c r="G10" s="53"/>
      <c r="H10" s="157"/>
    </row>
    <row r="11" spans="1:14" ht="34">
      <c r="A11" s="23" t="s">
        <v>362</v>
      </c>
      <c r="B11" s="3" t="s">
        <v>369</v>
      </c>
      <c r="C11" s="4" t="s">
        <v>33</v>
      </c>
      <c r="D11" s="4" t="s">
        <v>74</v>
      </c>
      <c r="E11" s="4" t="s">
        <v>17</v>
      </c>
      <c r="F11" s="4">
        <v>37.874000000000002</v>
      </c>
      <c r="G11" s="5">
        <f>F11/F12</f>
        <v>2.1811794517392307</v>
      </c>
      <c r="H11" s="111">
        <f>(G11-0.94)/0.52</f>
        <v>2.3868835610369823</v>
      </c>
      <c r="I11" s="72" t="s">
        <v>364</v>
      </c>
      <c r="K11" s="167" t="s">
        <v>370</v>
      </c>
      <c r="L11" s="163" t="s">
        <v>368</v>
      </c>
      <c r="M11" s="165">
        <v>44636</v>
      </c>
      <c r="N11" s="168" t="s">
        <v>371</v>
      </c>
    </row>
    <row r="12" spans="1:14">
      <c r="A12" s="23"/>
      <c r="B12" s="3"/>
      <c r="C12" s="4"/>
      <c r="D12" s="4" t="s">
        <v>74</v>
      </c>
      <c r="E12" s="4" t="s">
        <v>19</v>
      </c>
      <c r="F12" s="4">
        <v>17.364000000000001</v>
      </c>
      <c r="G12" s="5"/>
      <c r="H12" s="111"/>
    </row>
    <row r="13" spans="1:14">
      <c r="A13" s="23"/>
      <c r="B13" s="3"/>
      <c r="C13" s="4"/>
      <c r="D13" s="4"/>
      <c r="E13" s="4"/>
      <c r="F13" s="4"/>
      <c r="G13" s="5"/>
      <c r="H13" s="202"/>
    </row>
    <row r="14" spans="1:14">
      <c r="A14" s="198" t="s">
        <v>372</v>
      </c>
      <c r="B14" s="199" t="s">
        <v>363</v>
      </c>
      <c r="C14" s="199" t="s">
        <v>15</v>
      </c>
      <c r="D14" s="199" t="s">
        <v>182</v>
      </c>
      <c r="E14" s="199" t="s">
        <v>17</v>
      </c>
      <c r="F14" s="199">
        <v>35.35</v>
      </c>
      <c r="G14" s="199">
        <v>1.9225539780000001</v>
      </c>
      <c r="H14" s="203">
        <v>1.89</v>
      </c>
      <c r="I14" s="72" t="s">
        <v>50</v>
      </c>
    </row>
    <row r="15" spans="1:14">
      <c r="A15" s="198" t="s">
        <v>29</v>
      </c>
      <c r="B15" s="199" t="s">
        <v>29</v>
      </c>
      <c r="C15" s="199" t="s">
        <v>29</v>
      </c>
      <c r="D15" s="199" t="s">
        <v>182</v>
      </c>
      <c r="E15" s="199" t="s">
        <v>19</v>
      </c>
      <c r="F15" s="199">
        <v>18.387</v>
      </c>
      <c r="G15" s="199" t="s">
        <v>29</v>
      </c>
      <c r="H15" s="204" t="s">
        <v>29</v>
      </c>
    </row>
    <row r="16" spans="1:14" ht="17">
      <c r="A16" s="198" t="s">
        <v>372</v>
      </c>
      <c r="B16" s="199" t="s">
        <v>373</v>
      </c>
      <c r="C16" s="199" t="s">
        <v>30</v>
      </c>
      <c r="D16" s="199" t="s">
        <v>185</v>
      </c>
      <c r="E16" s="199" t="s">
        <v>17</v>
      </c>
      <c r="F16" s="199">
        <v>34.296999999999997</v>
      </c>
      <c r="G16" s="199" t="s">
        <v>374</v>
      </c>
      <c r="H16" s="203">
        <v>2.0459999999999998</v>
      </c>
      <c r="I16" s="72" t="s">
        <v>50</v>
      </c>
      <c r="K16" s="187" t="s">
        <v>375</v>
      </c>
      <c r="L16" s="84" t="s">
        <v>372</v>
      </c>
      <c r="M16" s="186">
        <v>44825</v>
      </c>
      <c r="N16" s="166" t="s">
        <v>297</v>
      </c>
    </row>
    <row r="17" spans="1:14">
      <c r="A17" s="198" t="s">
        <v>29</v>
      </c>
      <c r="B17" s="199" t="s">
        <v>29</v>
      </c>
      <c r="C17" s="199" t="s">
        <v>29</v>
      </c>
      <c r="D17" s="199" t="s">
        <v>185</v>
      </c>
      <c r="E17" s="199" t="s">
        <v>19</v>
      </c>
      <c r="F17" s="199">
        <v>17.114000000000001</v>
      </c>
      <c r="G17" s="199" t="s">
        <v>29</v>
      </c>
      <c r="H17" s="204" t="s">
        <v>29</v>
      </c>
    </row>
    <row r="18" spans="1:14">
      <c r="A18" s="198" t="s">
        <v>372</v>
      </c>
      <c r="B18" s="199" t="s">
        <v>376</v>
      </c>
      <c r="C18" s="199" t="s">
        <v>33</v>
      </c>
      <c r="D18" s="199" t="s">
        <v>100</v>
      </c>
      <c r="E18" s="199" t="s">
        <v>17</v>
      </c>
      <c r="F18" s="199">
        <v>36.96</v>
      </c>
      <c r="G18" s="199">
        <v>2.1571145089999999</v>
      </c>
      <c r="H18" s="203">
        <v>2.3410000000000002</v>
      </c>
      <c r="I18" s="72" t="s">
        <v>50</v>
      </c>
    </row>
    <row r="19" spans="1:14">
      <c r="A19" s="198" t="s">
        <v>29</v>
      </c>
      <c r="B19" s="199" t="s">
        <v>29</v>
      </c>
      <c r="C19" s="199" t="s">
        <v>29</v>
      </c>
      <c r="D19" s="199" t="s">
        <v>100</v>
      </c>
      <c r="E19" s="199" t="s">
        <v>19</v>
      </c>
      <c r="F19" s="199">
        <v>17.134</v>
      </c>
      <c r="G19" s="199" t="s">
        <v>29</v>
      </c>
      <c r="H19" s="204" t="s">
        <v>29</v>
      </c>
    </row>
    <row r="20" spans="1:14" s="126" customFormat="1">
      <c r="A20" s="127"/>
      <c r="B20" s="128"/>
      <c r="C20" s="129"/>
      <c r="D20" s="129"/>
      <c r="E20" s="129"/>
      <c r="F20" s="129"/>
      <c r="G20" s="130"/>
      <c r="H20" s="131"/>
    </row>
    <row r="21" spans="1:14">
      <c r="A21" s="23" t="s">
        <v>377</v>
      </c>
      <c r="B21" s="3" t="s">
        <v>378</v>
      </c>
      <c r="C21" s="3" t="s">
        <v>15</v>
      </c>
      <c r="D21" s="3" t="s">
        <v>379</v>
      </c>
      <c r="E21" s="3" t="s">
        <v>17</v>
      </c>
      <c r="F21" s="3">
        <v>19.773</v>
      </c>
      <c r="G21" s="3">
        <f>F21/F22</f>
        <v>0.95526353930141539</v>
      </c>
      <c r="H21" s="25">
        <f>(G21-0.94)/0.52</f>
        <v>2.9352960195029691E-2</v>
      </c>
      <c r="I21" s="72" t="s">
        <v>380</v>
      </c>
      <c r="J21" s="72" t="s">
        <v>365</v>
      </c>
    </row>
    <row r="22" spans="1:14">
      <c r="A22" s="23"/>
      <c r="B22" s="3"/>
      <c r="C22" s="3"/>
      <c r="D22" s="3" t="s">
        <v>379</v>
      </c>
      <c r="E22" s="3" t="s">
        <v>19</v>
      </c>
      <c r="F22" s="3">
        <v>20.699000000000002</v>
      </c>
      <c r="G22" s="3"/>
      <c r="H22" s="25"/>
    </row>
    <row r="23" spans="1:14">
      <c r="A23" s="3" t="s">
        <v>377</v>
      </c>
      <c r="B23" s="100" t="s">
        <v>381</v>
      </c>
      <c r="C23" s="100" t="s">
        <v>30</v>
      </c>
      <c r="D23" s="100" t="s">
        <v>382</v>
      </c>
      <c r="E23" s="100" t="s">
        <v>17</v>
      </c>
      <c r="F23" s="100">
        <v>18.061</v>
      </c>
      <c r="G23" s="100">
        <f>F23/F24</f>
        <v>1.0451362768358314</v>
      </c>
      <c r="H23" s="104">
        <f>(G23-0.94)/0.52</f>
        <v>0.20218514776121441</v>
      </c>
      <c r="I23" s="72" t="s">
        <v>380</v>
      </c>
      <c r="K23" s="141" t="s">
        <v>383</v>
      </c>
      <c r="L23" s="141" t="s">
        <v>377</v>
      </c>
      <c r="M23" s="145">
        <v>44797</v>
      </c>
      <c r="N23" s="143" t="s">
        <v>24</v>
      </c>
    </row>
    <row r="24" spans="1:14">
      <c r="A24" s="3"/>
      <c r="B24" s="100"/>
      <c r="C24" s="98"/>
      <c r="D24" s="98" t="s">
        <v>382</v>
      </c>
      <c r="E24" s="98" t="s">
        <v>19</v>
      </c>
      <c r="F24" s="98">
        <v>17.280999999999999</v>
      </c>
      <c r="G24" s="98"/>
      <c r="H24" s="102"/>
    </row>
    <row r="25" spans="1:14">
      <c r="A25" s="23" t="s">
        <v>377</v>
      </c>
      <c r="B25" s="3" t="s">
        <v>384</v>
      </c>
      <c r="C25" s="3" t="s">
        <v>33</v>
      </c>
      <c r="D25" s="3" t="s">
        <v>385</v>
      </c>
      <c r="E25" s="3" t="s">
        <v>17</v>
      </c>
      <c r="F25" s="3">
        <v>18.550999999999998</v>
      </c>
      <c r="G25" s="3">
        <f>F25/F26</f>
        <v>1.0321019250027816</v>
      </c>
      <c r="H25" s="25">
        <f>(G25-0.94)/0.52</f>
        <v>0.17711908654381095</v>
      </c>
      <c r="I25" s="72" t="s">
        <v>380</v>
      </c>
      <c r="K25" s="230" t="s">
        <v>386</v>
      </c>
      <c r="L25" s="146" t="s">
        <v>377</v>
      </c>
      <c r="M25" s="145">
        <v>44585</v>
      </c>
      <c r="N25" s="143" t="s">
        <v>24</v>
      </c>
    </row>
    <row r="26" spans="1:14">
      <c r="A26" s="23"/>
      <c r="B26" s="3"/>
      <c r="C26" s="3"/>
      <c r="D26" s="3" t="s">
        <v>385</v>
      </c>
      <c r="E26" s="3" t="s">
        <v>19</v>
      </c>
      <c r="F26" s="3">
        <v>17.974</v>
      </c>
      <c r="G26" s="3"/>
      <c r="H26" s="25"/>
    </row>
    <row r="27" spans="1:14">
      <c r="A27" s="70" t="s">
        <v>387</v>
      </c>
      <c r="B27" s="65" t="s">
        <v>388</v>
      </c>
      <c r="C27" s="65" t="s">
        <v>38</v>
      </c>
      <c r="D27" s="65" t="s">
        <v>65</v>
      </c>
      <c r="E27" s="65" t="s">
        <v>17</v>
      </c>
      <c r="F27" s="65">
        <v>21.959</v>
      </c>
      <c r="G27" s="65">
        <v>1.3632356590000001</v>
      </c>
      <c r="H27" s="106">
        <v>0.81399999999999995</v>
      </c>
      <c r="I27" s="72" t="s">
        <v>40</v>
      </c>
    </row>
    <row r="28" spans="1:14">
      <c r="A28" s="70"/>
      <c r="B28" s="65"/>
      <c r="C28" s="65" t="s">
        <v>29</v>
      </c>
      <c r="D28" s="65" t="s">
        <v>65</v>
      </c>
      <c r="E28" s="65" t="s">
        <v>19</v>
      </c>
      <c r="F28" s="65">
        <v>16.108000000000001</v>
      </c>
      <c r="G28" s="65" t="s">
        <v>29</v>
      </c>
      <c r="H28" s="65" t="s">
        <v>29</v>
      </c>
    </row>
    <row r="29" spans="1:14" s="126" customFormat="1">
      <c r="A29" s="127"/>
      <c r="B29" s="128"/>
      <c r="C29" s="128"/>
      <c r="D29" s="128"/>
      <c r="E29" s="128"/>
      <c r="F29" s="128"/>
      <c r="G29" s="128"/>
      <c r="H29" s="134"/>
    </row>
    <row r="30" spans="1:14" ht="15.75" customHeight="1">
      <c r="A30" s="23" t="s">
        <v>389</v>
      </c>
      <c r="B30" s="3" t="s">
        <v>390</v>
      </c>
      <c r="C30" s="3" t="s">
        <v>15</v>
      </c>
      <c r="D30" s="3" t="s">
        <v>391</v>
      </c>
      <c r="E30" s="3" t="s">
        <v>17</v>
      </c>
      <c r="F30" s="3">
        <v>19.071000000000002</v>
      </c>
      <c r="G30" s="3">
        <f>F30/F31</f>
        <v>0.83777016341591992</v>
      </c>
      <c r="H30" s="33">
        <f>(G30-0.94)/0.52</f>
        <v>-0.19659583958476928</v>
      </c>
      <c r="I30" s="72" t="s">
        <v>380</v>
      </c>
      <c r="J30" s="51" t="s">
        <v>365</v>
      </c>
    </row>
    <row r="31" spans="1:14">
      <c r="A31" s="23"/>
      <c r="B31" s="3"/>
      <c r="C31" s="26"/>
      <c r="D31" s="26" t="s">
        <v>391</v>
      </c>
      <c r="E31" s="26" t="s">
        <v>19</v>
      </c>
      <c r="F31" s="26">
        <v>22.763999999999999</v>
      </c>
      <c r="G31" s="26"/>
      <c r="H31" s="109"/>
    </row>
    <row r="32" spans="1:14">
      <c r="A32" s="36" t="s">
        <v>392</v>
      </c>
      <c r="B32" s="98" t="s">
        <v>393</v>
      </c>
      <c r="C32" s="98" t="s">
        <v>30</v>
      </c>
      <c r="D32" s="98" t="s">
        <v>394</v>
      </c>
      <c r="E32" s="98" t="s">
        <v>17</v>
      </c>
      <c r="F32" s="98">
        <v>24.474</v>
      </c>
      <c r="G32" s="98">
        <f>F32/F33</f>
        <v>1.2319540924192087</v>
      </c>
      <c r="H32" s="104">
        <f>(G32-0.94)/0.52</f>
        <v>0.56145017772924766</v>
      </c>
      <c r="I32" s="72" t="s">
        <v>380</v>
      </c>
    </row>
    <row r="33" spans="1:14">
      <c r="A33" s="36"/>
      <c r="B33" s="98"/>
      <c r="C33" s="99"/>
      <c r="D33" s="98" t="s">
        <v>394</v>
      </c>
      <c r="E33" s="98" t="s">
        <v>19</v>
      </c>
      <c r="F33" s="98">
        <v>19.866</v>
      </c>
      <c r="G33" s="98"/>
      <c r="H33" s="102"/>
    </row>
    <row r="34" spans="1:14" ht="64">
      <c r="A34" s="70" t="s">
        <v>395</v>
      </c>
      <c r="B34" s="65" t="s">
        <v>396</v>
      </c>
      <c r="C34" s="65" t="s">
        <v>45</v>
      </c>
      <c r="D34" s="65" t="s">
        <v>321</v>
      </c>
      <c r="E34" s="65" t="s">
        <v>17</v>
      </c>
      <c r="F34" s="65">
        <v>25.486000000000001</v>
      </c>
      <c r="G34" s="65">
        <v>1.6268351839999999</v>
      </c>
      <c r="H34" s="106">
        <v>1.321</v>
      </c>
      <c r="I34" s="72" t="s">
        <v>40</v>
      </c>
      <c r="K34" s="148" t="s">
        <v>397</v>
      </c>
      <c r="L34" s="146" t="s">
        <v>395</v>
      </c>
      <c r="M34" s="142">
        <v>44753</v>
      </c>
      <c r="N34" s="149" t="s">
        <v>398</v>
      </c>
    </row>
    <row r="35" spans="1:14" ht="15.75" customHeight="1">
      <c r="A35" s="68"/>
      <c r="B35" s="68"/>
      <c r="C35" s="68" t="s">
        <v>29</v>
      </c>
      <c r="D35" s="68" t="s">
        <v>321</v>
      </c>
      <c r="E35" s="68" t="s">
        <v>19</v>
      </c>
      <c r="F35" s="68">
        <v>15.666</v>
      </c>
      <c r="G35" s="68" t="s">
        <v>29</v>
      </c>
      <c r="H35" s="68" t="s">
        <v>29</v>
      </c>
    </row>
    <row r="36" spans="1:14" s="126" customFormat="1" ht="15.75" customHeight="1">
      <c r="A36" s="139"/>
      <c r="B36" s="125"/>
      <c r="C36" s="125"/>
      <c r="D36" s="125"/>
      <c r="E36" s="125"/>
      <c r="F36" s="125"/>
      <c r="G36" s="125"/>
      <c r="H36" s="125"/>
    </row>
    <row r="37" spans="1:14">
      <c r="A37" s="68" t="s">
        <v>399</v>
      </c>
      <c r="B37" s="68" t="s">
        <v>400</v>
      </c>
      <c r="C37" s="68" t="s">
        <v>38</v>
      </c>
      <c r="D37" s="68" t="s">
        <v>305</v>
      </c>
      <c r="E37" s="68" t="s">
        <v>17</v>
      </c>
      <c r="F37" s="68">
        <v>20.779</v>
      </c>
      <c r="G37" s="68">
        <v>0.97875647700000001</v>
      </c>
      <c r="H37" s="69">
        <v>7.4999999999999997E-2</v>
      </c>
      <c r="I37" s="72" t="s">
        <v>40</v>
      </c>
      <c r="J37" s="51" t="s">
        <v>365</v>
      </c>
    </row>
    <row r="38" spans="1:14">
      <c r="A38" s="68"/>
      <c r="B38" s="68"/>
      <c r="C38" s="68" t="s">
        <v>29</v>
      </c>
      <c r="D38" s="68" t="s">
        <v>305</v>
      </c>
      <c r="E38" s="68" t="s">
        <v>19</v>
      </c>
      <c r="F38" s="68">
        <v>21.23</v>
      </c>
      <c r="G38" s="68" t="s">
        <v>29</v>
      </c>
      <c r="H38" s="68" t="s">
        <v>29</v>
      </c>
    </row>
    <row r="39" spans="1:14">
      <c r="A39" s="68" t="s">
        <v>399</v>
      </c>
      <c r="B39" s="68" t="s">
        <v>401</v>
      </c>
      <c r="C39" s="68" t="s">
        <v>21</v>
      </c>
      <c r="D39" s="68" t="s">
        <v>306</v>
      </c>
      <c r="E39" s="68" t="s">
        <v>17</v>
      </c>
      <c r="F39" s="68">
        <v>24.018999999999998</v>
      </c>
      <c r="G39" s="68">
        <v>1.2871228770000001</v>
      </c>
      <c r="H39" s="69">
        <v>0.66800000000000004</v>
      </c>
      <c r="I39" s="72" t="s">
        <v>40</v>
      </c>
    </row>
    <row r="40" spans="1:14" ht="15.75" customHeight="1">
      <c r="A40" s="68"/>
      <c r="B40" s="68"/>
      <c r="C40" s="68" t="s">
        <v>29</v>
      </c>
      <c r="D40" s="68" t="s">
        <v>306</v>
      </c>
      <c r="E40" s="68" t="s">
        <v>19</v>
      </c>
      <c r="F40" s="68">
        <v>18.661000000000001</v>
      </c>
      <c r="G40" s="68" t="s">
        <v>29</v>
      </c>
      <c r="H40" s="68" t="s">
        <v>29</v>
      </c>
    </row>
    <row r="41" spans="1:14" ht="64">
      <c r="A41" s="68" t="s">
        <v>399</v>
      </c>
      <c r="B41" s="68" t="s">
        <v>402</v>
      </c>
      <c r="C41" s="68" t="s">
        <v>45</v>
      </c>
      <c r="D41" s="68" t="s">
        <v>307</v>
      </c>
      <c r="E41" s="68" t="s">
        <v>17</v>
      </c>
      <c r="F41" s="68">
        <v>25.693999999999999</v>
      </c>
      <c r="G41" s="68">
        <v>1.59105827</v>
      </c>
      <c r="H41" s="69">
        <v>1.252</v>
      </c>
      <c r="I41" s="72" t="s">
        <v>40</v>
      </c>
      <c r="K41" s="148" t="s">
        <v>403</v>
      </c>
      <c r="L41" s="146" t="s">
        <v>399</v>
      </c>
      <c r="M41" s="145">
        <v>44753</v>
      </c>
      <c r="N41" s="149" t="s">
        <v>398</v>
      </c>
    </row>
    <row r="42" spans="1:14">
      <c r="A42" s="68"/>
      <c r="B42" s="68"/>
      <c r="C42" s="68" t="s">
        <v>29</v>
      </c>
      <c r="D42" s="68" t="s">
        <v>307</v>
      </c>
      <c r="E42" s="68" t="s">
        <v>19</v>
      </c>
      <c r="F42" s="68">
        <v>16.149000000000001</v>
      </c>
      <c r="G42" s="68" t="s">
        <v>29</v>
      </c>
      <c r="H42" s="68" t="s">
        <v>29</v>
      </c>
    </row>
    <row r="43" spans="1:14" s="126" customFormat="1">
      <c r="A43" s="132"/>
      <c r="B43" s="132"/>
      <c r="C43" s="132"/>
      <c r="D43" s="132"/>
      <c r="E43" s="132"/>
      <c r="F43" s="132"/>
      <c r="G43" s="132"/>
      <c r="H43" s="132"/>
    </row>
    <row r="44" spans="1:14">
      <c r="A44" s="3" t="s">
        <v>404</v>
      </c>
      <c r="B44" s="3" t="s">
        <v>405</v>
      </c>
      <c r="C44" s="3" t="s">
        <v>15</v>
      </c>
      <c r="D44" s="4" t="s">
        <v>83</v>
      </c>
      <c r="E44" s="4" t="s">
        <v>17</v>
      </c>
      <c r="F44" s="4">
        <v>19.248999999999999</v>
      </c>
      <c r="G44" s="3">
        <f>F44/F45</f>
        <v>0.89231411088447987</v>
      </c>
      <c r="H44" s="41">
        <f>(G44-0.94)/0.52</f>
        <v>-9.170363291446168E-2</v>
      </c>
      <c r="I44" s="72" t="s">
        <v>18</v>
      </c>
      <c r="J44" s="72" t="s">
        <v>406</v>
      </c>
    </row>
    <row r="45" spans="1:14">
      <c r="A45" s="3"/>
      <c r="B45" s="3"/>
      <c r="C45" s="4"/>
      <c r="D45" s="4" t="s">
        <v>83</v>
      </c>
      <c r="E45" s="4" t="s">
        <v>19</v>
      </c>
      <c r="F45" s="4">
        <v>21.571999999999999</v>
      </c>
      <c r="G45" s="3"/>
      <c r="H45" s="41"/>
    </row>
    <row r="46" spans="1:14">
      <c r="A46" s="3" t="s">
        <v>404</v>
      </c>
      <c r="B46" s="3" t="s">
        <v>407</v>
      </c>
      <c r="C46" s="3" t="s">
        <v>21</v>
      </c>
      <c r="D46" s="4" t="s">
        <v>27</v>
      </c>
      <c r="E46" s="4" t="s">
        <v>17</v>
      </c>
      <c r="F46" s="4">
        <v>18.835000000000001</v>
      </c>
      <c r="G46" s="3">
        <f>F46/F47</f>
        <v>0.85718836754198346</v>
      </c>
      <c r="H46" s="41">
        <f>(G46-0.94)/0.52</f>
        <v>-0.15925313934233939</v>
      </c>
      <c r="I46" s="72" t="s">
        <v>18</v>
      </c>
    </row>
    <row r="47" spans="1:14" ht="15.75" customHeight="1">
      <c r="A47" s="3"/>
      <c r="B47" s="3"/>
      <c r="C47" s="4"/>
      <c r="D47" s="4" t="s">
        <v>27</v>
      </c>
      <c r="E47" s="4" t="s">
        <v>19</v>
      </c>
      <c r="F47" s="4">
        <v>21.972999999999999</v>
      </c>
      <c r="G47" s="3"/>
      <c r="H47" s="41"/>
    </row>
    <row r="48" spans="1:14" ht="15.75" customHeight="1">
      <c r="A48" s="3"/>
      <c r="B48" s="3"/>
      <c r="C48" s="4"/>
      <c r="D48" s="4"/>
      <c r="E48" s="4"/>
      <c r="F48" s="4"/>
      <c r="G48" s="3"/>
      <c r="H48" s="189"/>
    </row>
    <row r="49" spans="1:14" ht="15.75" customHeight="1">
      <c r="A49" s="3"/>
      <c r="B49" s="3"/>
      <c r="C49" s="4"/>
      <c r="D49" s="4"/>
      <c r="E49" s="4"/>
      <c r="F49" s="4"/>
      <c r="G49" s="3"/>
      <c r="H49" s="189"/>
    </row>
    <row r="50" spans="1:14" ht="15.75" customHeight="1">
      <c r="A50" s="198" t="s">
        <v>408</v>
      </c>
      <c r="B50" s="199" t="s">
        <v>409</v>
      </c>
      <c r="C50" s="199" t="s">
        <v>190</v>
      </c>
      <c r="D50" s="199" t="s">
        <v>68</v>
      </c>
      <c r="E50" s="199" t="s">
        <v>17</v>
      </c>
      <c r="F50" s="199">
        <v>17.943000000000001</v>
      </c>
      <c r="G50" s="199">
        <v>0.80766114499999997</v>
      </c>
      <c r="H50" s="205">
        <v>-0.254</v>
      </c>
      <c r="I50" s="72" t="s">
        <v>191</v>
      </c>
    </row>
    <row r="51" spans="1:14" ht="15.75" customHeight="1">
      <c r="A51" s="198" t="s">
        <v>29</v>
      </c>
      <c r="B51" s="199" t="s">
        <v>29</v>
      </c>
      <c r="C51" s="199" t="s">
        <v>29</v>
      </c>
      <c r="D51" s="199" t="s">
        <v>68</v>
      </c>
      <c r="E51" s="199" t="s">
        <v>19</v>
      </c>
      <c r="F51" s="199">
        <v>22.216000000000001</v>
      </c>
      <c r="G51" s="199" t="s">
        <v>29</v>
      </c>
      <c r="H51" s="206" t="s">
        <v>29</v>
      </c>
    </row>
    <row r="52" spans="1:14" ht="15.75" customHeight="1">
      <c r="A52" s="198" t="s">
        <v>408</v>
      </c>
      <c r="B52" s="199" t="s">
        <v>410</v>
      </c>
      <c r="C52" s="199" t="s">
        <v>411</v>
      </c>
      <c r="D52" s="199" t="s">
        <v>71</v>
      </c>
      <c r="E52" s="199" t="s">
        <v>17</v>
      </c>
      <c r="F52" s="199">
        <v>17.242999999999999</v>
      </c>
      <c r="G52" s="199">
        <v>0.69781464999999998</v>
      </c>
      <c r="H52" s="205">
        <v>-0.46600000000000003</v>
      </c>
      <c r="I52" s="72" t="s">
        <v>191</v>
      </c>
    </row>
    <row r="53" spans="1:14" ht="15.75" customHeight="1">
      <c r="A53" s="198" t="s">
        <v>29</v>
      </c>
      <c r="B53" s="199" t="s">
        <v>29</v>
      </c>
      <c r="C53" s="199" t="s">
        <v>29</v>
      </c>
      <c r="D53" s="199" t="s">
        <v>71</v>
      </c>
      <c r="E53" s="199" t="s">
        <v>19</v>
      </c>
      <c r="F53" s="199">
        <v>24.71</v>
      </c>
      <c r="G53" s="199" t="s">
        <v>29</v>
      </c>
      <c r="H53" s="206" t="s">
        <v>29</v>
      </c>
    </row>
    <row r="54" spans="1:14" ht="15.75" customHeight="1">
      <c r="A54" s="257" t="s">
        <v>412</v>
      </c>
      <c r="B54" s="199" t="s">
        <v>413</v>
      </c>
      <c r="C54" s="199" t="s">
        <v>196</v>
      </c>
      <c r="D54" s="199" t="s">
        <v>74</v>
      </c>
      <c r="E54" s="199" t="s">
        <v>17</v>
      </c>
      <c r="F54" s="199">
        <v>17.838000000000001</v>
      </c>
      <c r="G54" s="199">
        <v>0.74331194300000003</v>
      </c>
      <c r="H54" s="205">
        <v>-0.378</v>
      </c>
      <c r="I54" s="72" t="s">
        <v>191</v>
      </c>
    </row>
    <row r="55" spans="1:14" ht="15.75" customHeight="1">
      <c r="A55" s="198" t="s">
        <v>29</v>
      </c>
      <c r="B55" s="199" t="s">
        <v>29</v>
      </c>
      <c r="C55" s="199" t="s">
        <v>29</v>
      </c>
      <c r="D55" s="199" t="s">
        <v>74</v>
      </c>
      <c r="E55" s="199" t="s">
        <v>19</v>
      </c>
      <c r="F55" s="199">
        <v>23.998000000000001</v>
      </c>
      <c r="G55" s="199" t="s">
        <v>29</v>
      </c>
      <c r="H55" s="206" t="s">
        <v>29</v>
      </c>
      <c r="K55" s="4" t="s">
        <v>414</v>
      </c>
      <c r="L55" s="4" t="s">
        <v>415</v>
      </c>
      <c r="M55" s="186">
        <v>44893</v>
      </c>
      <c r="N55" s="251" t="s">
        <v>24</v>
      </c>
    </row>
    <row r="56" spans="1:14" ht="15.75" customHeight="1">
      <c r="A56" s="303" t="s">
        <v>416</v>
      </c>
      <c r="B56" s="66" t="s">
        <v>417</v>
      </c>
      <c r="C56" s="66" t="s">
        <v>38</v>
      </c>
      <c r="D56" s="66" t="s">
        <v>68</v>
      </c>
      <c r="E56" s="66" t="s">
        <v>17</v>
      </c>
      <c r="F56" s="66">
        <v>17.577999999999999</v>
      </c>
      <c r="G56" s="66">
        <v>0.78431197600000002</v>
      </c>
      <c r="H56" s="247">
        <v>-0.29899999999999999</v>
      </c>
      <c r="I56" s="72" t="s">
        <v>224</v>
      </c>
      <c r="M56" s="186"/>
    </row>
    <row r="57" spans="1:14" ht="15.75" customHeight="1">
      <c r="A57" s="304" t="s">
        <v>29</v>
      </c>
      <c r="B57" s="65" t="s">
        <v>29</v>
      </c>
      <c r="C57" s="65" t="s">
        <v>29</v>
      </c>
      <c r="D57" s="65" t="s">
        <v>68</v>
      </c>
      <c r="E57" s="65" t="s">
        <v>19</v>
      </c>
      <c r="F57" s="65">
        <v>22.411999999999999</v>
      </c>
      <c r="G57" s="65" t="s">
        <v>29</v>
      </c>
      <c r="H57" s="65" t="s">
        <v>29</v>
      </c>
      <c r="M57" s="186"/>
    </row>
    <row r="58" spans="1:14" s="126" customFormat="1" ht="15.75" customHeight="1">
      <c r="A58" s="128"/>
      <c r="B58" s="128"/>
      <c r="C58" s="129"/>
      <c r="D58" s="129"/>
      <c r="E58" s="129"/>
      <c r="F58" s="129"/>
      <c r="G58" s="128"/>
      <c r="H58" s="140"/>
    </row>
    <row r="59" spans="1:14">
      <c r="A59" s="3" t="s">
        <v>418</v>
      </c>
      <c r="B59" s="3" t="s">
        <v>419</v>
      </c>
      <c r="C59" s="3" t="s">
        <v>15</v>
      </c>
      <c r="D59" s="4" t="s">
        <v>31</v>
      </c>
      <c r="E59" s="4" t="s">
        <v>17</v>
      </c>
      <c r="F59" s="4">
        <v>18.067</v>
      </c>
      <c r="G59" s="3">
        <f>F59/F60</f>
        <v>0.81632929694559908</v>
      </c>
      <c r="H59" s="41">
        <f>(G59-0.94)/0.52</f>
        <v>-0.23782827510461704</v>
      </c>
      <c r="I59" s="72" t="s">
        <v>18</v>
      </c>
      <c r="J59" s="51" t="s">
        <v>365</v>
      </c>
    </row>
    <row r="60" spans="1:14" ht="15.75" customHeight="1">
      <c r="A60" s="3"/>
      <c r="B60" s="3"/>
      <c r="C60" s="4"/>
      <c r="D60" s="4" t="s">
        <v>31</v>
      </c>
      <c r="E60" s="4" t="s">
        <v>19</v>
      </c>
      <c r="F60" s="4">
        <v>22.132000000000001</v>
      </c>
      <c r="G60" s="3"/>
      <c r="H60" s="41"/>
    </row>
    <row r="61" spans="1:14">
      <c r="A61" s="3" t="s">
        <v>418</v>
      </c>
      <c r="B61" s="3" t="s">
        <v>420</v>
      </c>
      <c r="C61" s="3" t="s">
        <v>21</v>
      </c>
      <c r="D61" s="4" t="s">
        <v>34</v>
      </c>
      <c r="E61" s="4" t="s">
        <v>17</v>
      </c>
      <c r="F61" s="4">
        <v>21.472999999999999</v>
      </c>
      <c r="G61" s="3">
        <f>F61/F62</f>
        <v>1.1342771116158681</v>
      </c>
      <c r="H61" s="42">
        <f>(G61-0.94)/0.52</f>
        <v>0.37360983003051562</v>
      </c>
      <c r="I61" s="72" t="s">
        <v>18</v>
      </c>
      <c r="K61" s="141" t="s">
        <v>421</v>
      </c>
      <c r="L61" s="141" t="s">
        <v>418</v>
      </c>
      <c r="M61" s="145">
        <v>44797</v>
      </c>
      <c r="N61" s="143" t="s">
        <v>24</v>
      </c>
    </row>
    <row r="62" spans="1:14">
      <c r="A62" s="3"/>
      <c r="B62" s="3"/>
      <c r="C62" s="4"/>
      <c r="D62" s="4" t="s">
        <v>34</v>
      </c>
      <c r="E62" s="4" t="s">
        <v>19</v>
      </c>
      <c r="F62" s="4">
        <v>18.931000000000001</v>
      </c>
      <c r="G62" s="3"/>
      <c r="H62" s="42"/>
    </row>
    <row r="63" spans="1:14" ht="68">
      <c r="A63" s="3" t="s">
        <v>418</v>
      </c>
      <c r="B63" s="3" t="s">
        <v>422</v>
      </c>
      <c r="C63" s="3" t="s">
        <v>45</v>
      </c>
      <c r="D63" s="4" t="s">
        <v>105</v>
      </c>
      <c r="E63" s="4" t="s">
        <v>17</v>
      </c>
      <c r="F63" s="4">
        <v>21.077999999999999</v>
      </c>
      <c r="G63" s="3">
        <f>F63/F64</f>
        <v>1.2741340748352779</v>
      </c>
      <c r="H63" s="42">
        <f>(G63-0.94)/0.52</f>
        <v>0.64256552852938054</v>
      </c>
      <c r="I63" s="72" t="s">
        <v>18</v>
      </c>
      <c r="K63" s="146" t="s">
        <v>423</v>
      </c>
      <c r="L63" s="169" t="s">
        <v>418</v>
      </c>
      <c r="M63" s="165">
        <v>44753</v>
      </c>
      <c r="N63" s="168" t="s">
        <v>424</v>
      </c>
    </row>
    <row r="64" spans="1:14" ht="15.75" customHeight="1">
      <c r="A64" s="3"/>
      <c r="B64" s="3"/>
      <c r="C64" s="4"/>
      <c r="D64" s="4" t="s">
        <v>105</v>
      </c>
      <c r="E64" s="4" t="s">
        <v>19</v>
      </c>
      <c r="F64" s="4">
        <v>16.542999999999999</v>
      </c>
      <c r="G64" s="3"/>
      <c r="H64" s="42"/>
    </row>
    <row r="65" spans="1:14" ht="15.75" customHeight="1">
      <c r="A65" s="3" t="s">
        <v>418</v>
      </c>
      <c r="B65" s="3" t="s">
        <v>360</v>
      </c>
      <c r="C65" s="3" t="s">
        <v>45</v>
      </c>
      <c r="D65" s="3" t="s">
        <v>52</v>
      </c>
      <c r="E65" s="3" t="s">
        <v>17</v>
      </c>
      <c r="F65" s="3">
        <v>19.483000000000001</v>
      </c>
      <c r="G65" s="3">
        <f t="shared" ref="G65:G67" si="0">F65/F66</f>
        <v>0.60214488811966871</v>
      </c>
      <c r="H65" s="308">
        <f t="shared" ref="H65:H67" si="1">(G65-0.94)/0.52</f>
        <v>-0.64972136900063693</v>
      </c>
      <c r="I65" s="72" t="s">
        <v>40</v>
      </c>
    </row>
    <row r="66" spans="1:14" ht="15.75" customHeight="1">
      <c r="A66" s="4"/>
      <c r="B66" s="4"/>
      <c r="C66" s="4"/>
      <c r="D66" s="3" t="s">
        <v>52</v>
      </c>
      <c r="E66" s="3" t="s">
        <v>19</v>
      </c>
      <c r="F66" s="3">
        <v>32.356000000000002</v>
      </c>
      <c r="G66" s="3"/>
      <c r="H66" s="308"/>
    </row>
    <row r="67" spans="1:14" ht="15.75" customHeight="1">
      <c r="A67" s="3" t="s">
        <v>418</v>
      </c>
      <c r="B67" s="3" t="s">
        <v>361</v>
      </c>
      <c r="C67" s="3" t="s">
        <v>45</v>
      </c>
      <c r="D67" s="3" t="s">
        <v>55</v>
      </c>
      <c r="E67" s="3" t="s">
        <v>17</v>
      </c>
      <c r="F67" s="3">
        <v>22.364000000000001</v>
      </c>
      <c r="G67" s="3">
        <f t="shared" si="0"/>
        <v>1.3512990936555891</v>
      </c>
      <c r="H67" s="308">
        <f t="shared" si="1"/>
        <v>0.79095979549151751</v>
      </c>
      <c r="I67" s="72" t="s">
        <v>40</v>
      </c>
    </row>
    <row r="68" spans="1:14" ht="15.75" customHeight="1">
      <c r="A68" s="4"/>
      <c r="B68" s="4"/>
      <c r="C68" s="4"/>
      <c r="D68" s="3" t="s">
        <v>55</v>
      </c>
      <c r="E68" s="3" t="s">
        <v>19</v>
      </c>
      <c r="F68" s="3">
        <v>16.55</v>
      </c>
      <c r="G68" s="3"/>
      <c r="H68" s="308"/>
    </row>
    <row r="69" spans="1:14" ht="15.75" customHeight="1">
      <c r="A69" s="4"/>
      <c r="B69" s="4"/>
      <c r="C69" s="4"/>
      <c r="D69" s="3"/>
      <c r="E69" s="3"/>
      <c r="F69" s="3"/>
      <c r="G69" s="3"/>
      <c r="H69" s="308"/>
    </row>
    <row r="70" spans="1:14">
      <c r="A70" s="3" t="s">
        <v>425</v>
      </c>
      <c r="B70" s="3" t="s">
        <v>419</v>
      </c>
      <c r="C70" s="3" t="s">
        <v>38</v>
      </c>
      <c r="D70" s="3" t="s">
        <v>68</v>
      </c>
      <c r="E70" s="3" t="s">
        <v>17</v>
      </c>
      <c r="F70" s="3">
        <v>18.091999999999999</v>
      </c>
      <c r="G70" s="3">
        <f>F70/F71</f>
        <v>0.85581835383159877</v>
      </c>
      <c r="H70" s="308">
        <f>(G70-0.94)/0.52</f>
        <v>-0.16188778109307919</v>
      </c>
      <c r="I70" s="72" t="s">
        <v>40</v>
      </c>
    </row>
    <row r="71" spans="1:14">
      <c r="A71" s="4"/>
      <c r="B71" s="4"/>
      <c r="C71" s="4"/>
      <c r="D71" s="3" t="s">
        <v>68</v>
      </c>
      <c r="E71" s="3" t="s">
        <v>19</v>
      </c>
      <c r="F71" s="3">
        <v>21.14</v>
      </c>
      <c r="G71" s="3"/>
      <c r="H71" s="308"/>
      <c r="I71" s="72"/>
    </row>
    <row r="72" spans="1:14" ht="15.75" customHeight="1">
      <c r="A72" s="3" t="s">
        <v>425</v>
      </c>
      <c r="B72" s="3" t="s">
        <v>426</v>
      </c>
      <c r="C72" s="3" t="s">
        <v>21</v>
      </c>
      <c r="D72" s="3" t="s">
        <v>71</v>
      </c>
      <c r="E72" s="3" t="s">
        <v>17</v>
      </c>
      <c r="F72" s="3">
        <v>23.402000000000001</v>
      </c>
      <c r="G72" s="3">
        <f t="shared" ref="G72" si="2">F72/F73</f>
        <v>1.3502971553863021</v>
      </c>
      <c r="H72" s="308">
        <f>(G72-0.94)/0.52</f>
        <v>0.78903299112750414</v>
      </c>
      <c r="I72" s="72" t="s">
        <v>40</v>
      </c>
      <c r="K72" s="146" t="s">
        <v>427</v>
      </c>
      <c r="L72" s="146" t="s">
        <v>425</v>
      </c>
      <c r="M72" s="142">
        <v>44753</v>
      </c>
      <c r="N72" s="143" t="s">
        <v>24</v>
      </c>
    </row>
    <row r="73" spans="1:14" ht="15.75" customHeight="1">
      <c r="A73" s="4"/>
      <c r="B73" s="4"/>
      <c r="C73" s="4"/>
      <c r="D73" s="3" t="s">
        <v>71</v>
      </c>
      <c r="E73" s="3" t="s">
        <v>19</v>
      </c>
      <c r="F73" s="3">
        <v>17.331</v>
      </c>
      <c r="G73" s="3"/>
      <c r="H73" s="308"/>
      <c r="K73" s="188" t="s">
        <v>428</v>
      </c>
      <c r="L73" s="84" t="s">
        <v>425</v>
      </c>
      <c r="M73" s="186">
        <v>44825</v>
      </c>
      <c r="N73" s="168" t="s">
        <v>297</v>
      </c>
    </row>
    <row r="74" spans="1:14" s="126" customFormat="1" ht="15.75" customHeight="1">
      <c r="A74" s="132"/>
      <c r="B74" s="132"/>
      <c r="C74" s="132"/>
      <c r="D74" s="132"/>
      <c r="E74" s="132"/>
      <c r="F74" s="132"/>
      <c r="G74" s="132"/>
      <c r="H74" s="132"/>
    </row>
    <row r="75" spans="1:14">
      <c r="A75" s="3" t="s">
        <v>429</v>
      </c>
      <c r="B75" s="3" t="s">
        <v>430</v>
      </c>
      <c r="C75" s="3" t="s">
        <v>15</v>
      </c>
      <c r="D75" s="4" t="s">
        <v>59</v>
      </c>
      <c r="E75" s="4" t="s">
        <v>17</v>
      </c>
      <c r="F75" s="4">
        <v>18.433</v>
      </c>
      <c r="G75" s="3">
        <f>F75/F76</f>
        <v>0.88352585917653259</v>
      </c>
      <c r="H75" s="41">
        <f>(G75-0.94)/0.52</f>
        <v>-0.10860411696820645</v>
      </c>
      <c r="I75" s="72" t="s">
        <v>18</v>
      </c>
      <c r="J75" s="51" t="s">
        <v>406</v>
      </c>
    </row>
    <row r="76" spans="1:14">
      <c r="A76" s="3"/>
      <c r="B76" s="3"/>
      <c r="C76" s="4"/>
      <c r="D76" s="4" t="s">
        <v>59</v>
      </c>
      <c r="E76" s="4" t="s">
        <v>19</v>
      </c>
      <c r="F76" s="4">
        <v>20.863</v>
      </c>
      <c r="G76" s="3"/>
      <c r="H76" s="41"/>
    </row>
    <row r="77" spans="1:14">
      <c r="A77" s="3"/>
      <c r="B77" s="3"/>
      <c r="C77" s="4"/>
      <c r="D77" s="4"/>
      <c r="E77" s="4"/>
      <c r="F77" s="4"/>
      <c r="G77" s="3"/>
      <c r="H77" s="189"/>
      <c r="K77" s="211"/>
      <c r="L77" s="211"/>
      <c r="M77" s="186"/>
      <c r="N77" s="97"/>
    </row>
    <row r="78" spans="1:14">
      <c r="A78" s="68" t="s">
        <v>429</v>
      </c>
      <c r="B78" s="68" t="s">
        <v>431</v>
      </c>
      <c r="C78" s="68" t="s">
        <v>21</v>
      </c>
      <c r="D78" s="68" t="s">
        <v>74</v>
      </c>
      <c r="E78" s="68" t="s">
        <v>17</v>
      </c>
      <c r="F78" s="68">
        <v>19.827000000000002</v>
      </c>
      <c r="G78" s="68">
        <v>1.093360538</v>
      </c>
      <c r="H78" s="69">
        <v>0.29499999999999998</v>
      </c>
      <c r="I78" s="72" t="s">
        <v>40</v>
      </c>
      <c r="K78" s="147" t="s">
        <v>432</v>
      </c>
      <c r="L78" s="147" t="s">
        <v>429</v>
      </c>
      <c r="M78" s="142">
        <v>44753</v>
      </c>
      <c r="N78" s="143" t="s">
        <v>24</v>
      </c>
    </row>
    <row r="79" spans="1:14">
      <c r="A79" s="68"/>
      <c r="B79" s="68"/>
      <c r="C79" s="68" t="s">
        <v>29</v>
      </c>
      <c r="D79" s="68" t="s">
        <v>74</v>
      </c>
      <c r="E79" s="68" t="s">
        <v>19</v>
      </c>
      <c r="F79" s="68">
        <v>18.134</v>
      </c>
      <c r="G79" s="68" t="s">
        <v>29</v>
      </c>
      <c r="H79" s="68" t="s">
        <v>29</v>
      </c>
    </row>
    <row r="80" spans="1:14">
      <c r="A80" s="68"/>
      <c r="B80" s="68"/>
      <c r="C80" s="68"/>
      <c r="D80" s="68"/>
      <c r="E80" s="68"/>
      <c r="F80" s="68"/>
      <c r="G80" s="68"/>
      <c r="H80" s="68"/>
      <c r="K80" s="310" t="s">
        <v>433</v>
      </c>
      <c r="L80" s="146" t="s">
        <v>429</v>
      </c>
      <c r="M80" s="165">
        <v>44825</v>
      </c>
      <c r="N80" s="143" t="s">
        <v>24</v>
      </c>
    </row>
    <row r="81" spans="1:14" s="126" customFormat="1">
      <c r="A81" s="128"/>
      <c r="B81" s="128"/>
      <c r="C81" s="129"/>
      <c r="D81" s="129"/>
      <c r="E81" s="129"/>
      <c r="F81" s="129"/>
      <c r="G81" s="128"/>
      <c r="H81" s="140"/>
    </row>
    <row r="82" spans="1:14">
      <c r="A82" s="3" t="s">
        <v>434</v>
      </c>
      <c r="B82" s="3" t="s">
        <v>435</v>
      </c>
      <c r="C82" s="3" t="s">
        <v>15</v>
      </c>
      <c r="D82" s="4" t="s">
        <v>49</v>
      </c>
      <c r="E82" s="4" t="s">
        <v>17</v>
      </c>
      <c r="F82" s="4">
        <v>17.59</v>
      </c>
      <c r="G82" s="3">
        <f>F82/F83</f>
        <v>0.84025986433553068</v>
      </c>
      <c r="H82" s="41">
        <f>(G82-0.94)/0.52</f>
        <v>-0.19180795320090244</v>
      </c>
      <c r="I82" s="72" t="s">
        <v>18</v>
      </c>
      <c r="J82" s="51" t="s">
        <v>365</v>
      </c>
      <c r="K82" s="141" t="s">
        <v>436</v>
      </c>
      <c r="L82" s="141" t="s">
        <v>434</v>
      </c>
      <c r="M82" s="142">
        <v>44753</v>
      </c>
      <c r="N82" s="143" t="s">
        <v>24</v>
      </c>
    </row>
    <row r="83" spans="1:14">
      <c r="A83" s="3"/>
      <c r="B83" s="3"/>
      <c r="C83" s="4"/>
      <c r="D83" s="4" t="s">
        <v>49</v>
      </c>
      <c r="E83" s="4" t="s">
        <v>19</v>
      </c>
      <c r="F83" s="4">
        <v>20.934000000000001</v>
      </c>
      <c r="G83" s="3"/>
      <c r="H83" s="41"/>
    </row>
    <row r="84" spans="1:14">
      <c r="A84" s="3" t="s">
        <v>434</v>
      </c>
      <c r="B84" s="3" t="s">
        <v>437</v>
      </c>
      <c r="C84" s="3" t="s">
        <v>21</v>
      </c>
      <c r="D84" s="4" t="s">
        <v>52</v>
      </c>
      <c r="E84" s="4" t="s">
        <v>17</v>
      </c>
      <c r="F84" s="4">
        <v>19.138000000000002</v>
      </c>
      <c r="G84" s="3">
        <f>F84/F85</f>
        <v>1.1050929668552951</v>
      </c>
      <c r="H84" s="42">
        <f>(G84-0.94)/0.52</f>
        <v>0.31748647472172148</v>
      </c>
      <c r="I84" s="72" t="s">
        <v>18</v>
      </c>
    </row>
    <row r="85" spans="1:14">
      <c r="A85" s="3"/>
      <c r="B85" s="100"/>
      <c r="C85" s="107"/>
      <c r="D85" s="107" t="s">
        <v>52</v>
      </c>
      <c r="E85" s="107" t="s">
        <v>19</v>
      </c>
      <c r="F85" s="107">
        <v>17.318000000000001</v>
      </c>
      <c r="G85" s="100"/>
      <c r="H85" s="42"/>
    </row>
    <row r="86" spans="1:14">
      <c r="A86" s="68" t="s">
        <v>434</v>
      </c>
      <c r="B86" s="66" t="s">
        <v>438</v>
      </c>
      <c r="C86" s="65" t="s">
        <v>45</v>
      </c>
      <c r="D86" s="65" t="s">
        <v>81</v>
      </c>
      <c r="E86" s="65" t="s">
        <v>17</v>
      </c>
      <c r="F86" s="65">
        <v>19.844000000000001</v>
      </c>
      <c r="G86" s="65">
        <v>1.1019546870000001</v>
      </c>
      <c r="H86" s="106">
        <v>0.311</v>
      </c>
      <c r="I86" s="72" t="s">
        <v>40</v>
      </c>
      <c r="K86" s="146" t="s">
        <v>439</v>
      </c>
      <c r="L86" s="146" t="s">
        <v>434</v>
      </c>
      <c r="M86" s="145">
        <v>44797</v>
      </c>
      <c r="N86" s="143" t="s">
        <v>24</v>
      </c>
    </row>
    <row r="87" spans="1:14">
      <c r="A87" s="70"/>
      <c r="B87" s="65"/>
      <c r="C87" s="65" t="s">
        <v>29</v>
      </c>
      <c r="D87" s="65" t="s">
        <v>81</v>
      </c>
      <c r="E87" s="65" t="s">
        <v>19</v>
      </c>
      <c r="F87" s="65">
        <v>18.007999999999999</v>
      </c>
      <c r="G87" s="65" t="s">
        <v>29</v>
      </c>
      <c r="H87" s="68" t="s">
        <v>29</v>
      </c>
    </row>
    <row r="88" spans="1:14">
      <c r="A88" s="70" t="s">
        <v>440</v>
      </c>
      <c r="B88" s="65" t="s">
        <v>437</v>
      </c>
      <c r="C88" s="65" t="s">
        <v>21</v>
      </c>
      <c r="D88" s="65" t="s">
        <v>83</v>
      </c>
      <c r="E88" s="65" t="s">
        <v>17</v>
      </c>
      <c r="F88" s="65">
        <v>19.928999999999998</v>
      </c>
      <c r="G88" s="65">
        <v>0.71550640899999995</v>
      </c>
      <c r="H88" s="105">
        <v>-0.432</v>
      </c>
      <c r="I88" s="72" t="s">
        <v>40</v>
      </c>
    </row>
    <row r="89" spans="1:14">
      <c r="A89" s="70"/>
      <c r="B89" s="65"/>
      <c r="C89" s="65" t="s">
        <v>29</v>
      </c>
      <c r="D89" s="65" t="s">
        <v>83</v>
      </c>
      <c r="E89" s="65" t="s">
        <v>19</v>
      </c>
      <c r="F89" s="65">
        <v>27.853000000000002</v>
      </c>
      <c r="G89" s="65" t="s">
        <v>29</v>
      </c>
      <c r="H89" s="68" t="s">
        <v>29</v>
      </c>
    </row>
    <row r="90" spans="1:14" s="126" customFormat="1">
      <c r="A90" s="139"/>
      <c r="B90" s="125"/>
      <c r="C90" s="125"/>
      <c r="D90" s="125"/>
      <c r="E90" s="125"/>
      <c r="F90" s="125"/>
      <c r="G90" s="125"/>
      <c r="H90" s="125"/>
    </row>
    <row r="91" spans="1:14">
      <c r="A91" s="36" t="s">
        <v>441</v>
      </c>
      <c r="B91" s="98" t="s">
        <v>442</v>
      </c>
      <c r="C91" s="98" t="s">
        <v>15</v>
      </c>
      <c r="D91" s="99" t="s">
        <v>55</v>
      </c>
      <c r="E91" s="99" t="s">
        <v>17</v>
      </c>
      <c r="F91" s="99">
        <v>19.62</v>
      </c>
      <c r="G91" s="98">
        <f>F91/F92</f>
        <v>1.0016847909327615</v>
      </c>
      <c r="H91" s="103">
        <f>(G91-0.94)/0.52</f>
        <v>0.11862459794761841</v>
      </c>
      <c r="I91" s="72" t="s">
        <v>18</v>
      </c>
      <c r="J91" s="51" t="s">
        <v>365</v>
      </c>
    </row>
    <row r="92" spans="1:14">
      <c r="A92" s="36"/>
      <c r="B92" s="98"/>
      <c r="C92" s="99"/>
      <c r="D92" s="99" t="s">
        <v>55</v>
      </c>
      <c r="E92" s="99" t="s">
        <v>19</v>
      </c>
      <c r="F92" s="99">
        <v>19.587</v>
      </c>
      <c r="G92" s="98"/>
      <c r="H92" s="42"/>
    </row>
    <row r="93" spans="1:14">
      <c r="A93" s="36" t="s">
        <v>441</v>
      </c>
      <c r="B93" s="98" t="s">
        <v>443</v>
      </c>
      <c r="C93" s="98" t="s">
        <v>21</v>
      </c>
      <c r="D93" s="99" t="s">
        <v>182</v>
      </c>
      <c r="E93" s="99" t="s">
        <v>17</v>
      </c>
      <c r="F93" s="99">
        <v>20.832000000000001</v>
      </c>
      <c r="G93" s="98">
        <f>F93/F94</f>
        <v>1.1220510610793926</v>
      </c>
      <c r="H93" s="103">
        <f>(G93-0.94)/0.52</f>
        <v>0.3500981943834473</v>
      </c>
      <c r="I93" s="72" t="s">
        <v>18</v>
      </c>
      <c r="K93" s="146" t="s">
        <v>444</v>
      </c>
      <c r="L93" s="146" t="s">
        <v>441</v>
      </c>
      <c r="M93" s="142">
        <v>44753</v>
      </c>
      <c r="N93" s="143" t="s">
        <v>24</v>
      </c>
    </row>
    <row r="94" spans="1:14">
      <c r="A94" s="36"/>
      <c r="B94" s="98"/>
      <c r="C94" s="99"/>
      <c r="D94" s="99" t="s">
        <v>182</v>
      </c>
      <c r="E94" s="99" t="s">
        <v>19</v>
      </c>
      <c r="F94" s="99">
        <v>18.565999999999999</v>
      </c>
      <c r="G94" s="98"/>
      <c r="H94" s="42"/>
    </row>
    <row r="95" spans="1:14">
      <c r="A95" s="70" t="s">
        <v>441</v>
      </c>
      <c r="B95" s="65" t="s">
        <v>445</v>
      </c>
      <c r="C95" s="65" t="s">
        <v>45</v>
      </c>
      <c r="D95" s="65" t="s">
        <v>27</v>
      </c>
      <c r="E95" s="65" t="s">
        <v>17</v>
      </c>
      <c r="F95" s="65">
        <v>23.895</v>
      </c>
      <c r="G95" s="65">
        <v>1.4080730699999999</v>
      </c>
      <c r="H95" s="106">
        <v>0.9</v>
      </c>
      <c r="I95" s="72" t="s">
        <v>40</v>
      </c>
    </row>
    <row r="96" spans="1:14">
      <c r="A96" s="70"/>
      <c r="B96" s="65"/>
      <c r="C96" s="65" t="s">
        <v>29</v>
      </c>
      <c r="D96" s="65" t="s">
        <v>27</v>
      </c>
      <c r="E96" s="65" t="s">
        <v>19</v>
      </c>
      <c r="F96" s="65">
        <v>16.97</v>
      </c>
      <c r="G96" s="65" t="s">
        <v>29</v>
      </c>
      <c r="H96" s="68" t="s">
        <v>29</v>
      </c>
    </row>
    <row r="97" spans="1:14">
      <c r="A97" s="68" t="s">
        <v>446</v>
      </c>
      <c r="B97" s="66" t="s">
        <v>442</v>
      </c>
      <c r="C97" s="66" t="s">
        <v>15</v>
      </c>
      <c r="D97" s="66" t="s">
        <v>34</v>
      </c>
      <c r="E97" s="66" t="s">
        <v>17</v>
      </c>
      <c r="F97" s="66">
        <v>17.837</v>
      </c>
      <c r="G97" s="66">
        <v>0.851083119</v>
      </c>
      <c r="H97" s="247">
        <v>-0.17100000000000001</v>
      </c>
      <c r="I97" s="72" t="s">
        <v>447</v>
      </c>
      <c r="K97" s="4" t="s">
        <v>448</v>
      </c>
      <c r="L97" s="221" t="s">
        <v>446</v>
      </c>
      <c r="M97" s="165">
        <v>44859</v>
      </c>
      <c r="N97" s="222" t="s">
        <v>24</v>
      </c>
    </row>
    <row r="98" spans="1:14">
      <c r="A98" s="70" t="s">
        <v>29</v>
      </c>
      <c r="B98" s="65" t="s">
        <v>29</v>
      </c>
      <c r="C98" s="65" t="s">
        <v>29</v>
      </c>
      <c r="D98" s="65" t="s">
        <v>34</v>
      </c>
      <c r="E98" s="65" t="s">
        <v>19</v>
      </c>
      <c r="F98" s="65">
        <v>20.957999999999998</v>
      </c>
      <c r="G98" s="65" t="s">
        <v>29</v>
      </c>
      <c r="H98" s="248" t="s">
        <v>29</v>
      </c>
    </row>
    <row r="99" spans="1:14">
      <c r="A99" s="70" t="s">
        <v>446</v>
      </c>
      <c r="B99" s="65" t="s">
        <v>449</v>
      </c>
      <c r="C99" s="65" t="s">
        <v>21</v>
      </c>
      <c r="D99" s="65" t="s">
        <v>105</v>
      </c>
      <c r="E99" s="65" t="s">
        <v>17</v>
      </c>
      <c r="F99" s="65">
        <v>18.460999999999999</v>
      </c>
      <c r="G99" s="65">
        <v>0.84594235399999995</v>
      </c>
      <c r="H99" s="247">
        <v>-0.18099999999999999</v>
      </c>
      <c r="I99" s="72" t="s">
        <v>447</v>
      </c>
      <c r="K99" s="89" t="s">
        <v>450</v>
      </c>
      <c r="L99" s="89" t="s">
        <v>446</v>
      </c>
      <c r="M99" s="165">
        <v>44907</v>
      </c>
      <c r="N99" s="181" t="s">
        <v>24</v>
      </c>
    </row>
    <row r="100" spans="1:14">
      <c r="A100" s="70" t="s">
        <v>29</v>
      </c>
      <c r="B100" s="65" t="s">
        <v>29</v>
      </c>
      <c r="C100" s="65" t="s">
        <v>29</v>
      </c>
      <c r="D100" s="65" t="s">
        <v>105</v>
      </c>
      <c r="E100" s="65" t="s">
        <v>19</v>
      </c>
      <c r="F100" s="65">
        <v>21.823</v>
      </c>
      <c r="G100" s="65" t="s">
        <v>29</v>
      </c>
      <c r="H100" s="248" t="s">
        <v>29</v>
      </c>
    </row>
    <row r="101" spans="1:14">
      <c r="A101" s="70" t="s">
        <v>446</v>
      </c>
      <c r="B101" s="65" t="s">
        <v>451</v>
      </c>
      <c r="C101" s="65" t="s">
        <v>21</v>
      </c>
      <c r="D101" s="65" t="s">
        <v>59</v>
      </c>
      <c r="E101" s="65" t="s">
        <v>17</v>
      </c>
      <c r="F101" s="65">
        <v>18.78</v>
      </c>
      <c r="G101" s="65">
        <v>0.648906396</v>
      </c>
      <c r="H101" s="247">
        <v>-0.56000000000000005</v>
      </c>
      <c r="I101" s="72" t="s">
        <v>447</v>
      </c>
      <c r="K101" s="89" t="s">
        <v>452</v>
      </c>
      <c r="L101" s="89" t="s">
        <v>446</v>
      </c>
      <c r="M101" s="165">
        <v>44907</v>
      </c>
      <c r="N101" s="181" t="s">
        <v>24</v>
      </c>
    </row>
    <row r="102" spans="1:14">
      <c r="A102" s="70" t="s">
        <v>29</v>
      </c>
      <c r="B102" s="65" t="s">
        <v>29</v>
      </c>
      <c r="C102" s="65" t="s">
        <v>29</v>
      </c>
      <c r="D102" s="65" t="s">
        <v>59</v>
      </c>
      <c r="E102" s="65" t="s">
        <v>19</v>
      </c>
      <c r="F102" s="65">
        <v>28.940999999999999</v>
      </c>
      <c r="G102" s="65" t="s">
        <v>29</v>
      </c>
      <c r="H102" s="248" t="s">
        <v>29</v>
      </c>
    </row>
    <row r="103" spans="1:14">
      <c r="A103" s="70" t="s">
        <v>446</v>
      </c>
      <c r="B103" s="65" t="s">
        <v>453</v>
      </c>
      <c r="C103" s="65" t="s">
        <v>33</v>
      </c>
      <c r="D103" s="65" t="s">
        <v>49</v>
      </c>
      <c r="E103" s="65" t="s">
        <v>17</v>
      </c>
      <c r="F103" s="65">
        <v>18.98</v>
      </c>
      <c r="G103" s="65">
        <v>1.035348025</v>
      </c>
      <c r="H103" s="249">
        <v>0.183</v>
      </c>
      <c r="I103" s="72" t="s">
        <v>447</v>
      </c>
    </row>
    <row r="104" spans="1:14">
      <c r="A104" s="70" t="s">
        <v>29</v>
      </c>
      <c r="B104" s="65" t="s">
        <v>29</v>
      </c>
      <c r="C104" s="65" t="s">
        <v>29</v>
      </c>
      <c r="D104" s="65" t="s">
        <v>49</v>
      </c>
      <c r="E104" s="65" t="s">
        <v>19</v>
      </c>
      <c r="F104" s="65">
        <v>18.332000000000001</v>
      </c>
      <c r="G104" s="65" t="s">
        <v>29</v>
      </c>
      <c r="H104" s="250" t="s">
        <v>29</v>
      </c>
    </row>
    <row r="105" spans="1:14">
      <c r="A105" s="70" t="s">
        <v>446</v>
      </c>
      <c r="B105" s="65" t="s">
        <v>454</v>
      </c>
      <c r="C105" s="65" t="s">
        <v>33</v>
      </c>
      <c r="D105" s="65" t="s">
        <v>52</v>
      </c>
      <c r="E105" s="65" t="s">
        <v>17</v>
      </c>
      <c r="F105" s="65">
        <v>18.890999999999998</v>
      </c>
      <c r="G105" s="65">
        <v>0.72097549800000005</v>
      </c>
      <c r="H105" s="247">
        <v>-0.42099999999999999</v>
      </c>
      <c r="I105" s="72" t="s">
        <v>447</v>
      </c>
    </row>
    <row r="106" spans="1:14">
      <c r="A106" s="70" t="s">
        <v>29</v>
      </c>
      <c r="B106" s="65" t="s">
        <v>29</v>
      </c>
      <c r="C106" s="65" t="s">
        <v>29</v>
      </c>
      <c r="D106" s="65" t="s">
        <v>52</v>
      </c>
      <c r="E106" s="65" t="s">
        <v>19</v>
      </c>
      <c r="F106" s="65">
        <v>26.202000000000002</v>
      </c>
      <c r="G106" s="65" t="s">
        <v>29</v>
      </c>
      <c r="H106" s="248" t="s">
        <v>29</v>
      </c>
    </row>
    <row r="107" spans="1:14" s="126" customFormat="1">
      <c r="A107" s="135"/>
      <c r="B107" s="136"/>
      <c r="C107" s="137"/>
      <c r="D107" s="137"/>
      <c r="E107" s="137"/>
      <c r="F107" s="137"/>
      <c r="G107" s="136"/>
      <c r="H107" s="138"/>
    </row>
    <row r="108" spans="1:14">
      <c r="A108" s="36" t="s">
        <v>455</v>
      </c>
      <c r="B108" s="98" t="s">
        <v>456</v>
      </c>
      <c r="C108" s="98" t="s">
        <v>15</v>
      </c>
      <c r="D108" s="99" t="s">
        <v>185</v>
      </c>
      <c r="E108" s="99" t="s">
        <v>17</v>
      </c>
      <c r="F108" s="99">
        <v>17.111999999999998</v>
      </c>
      <c r="G108" s="98">
        <f>F108/F109</f>
        <v>0.77813651039061427</v>
      </c>
      <c r="H108" s="101">
        <f>(G108-0.94)/0.52</f>
        <v>-0.31127594155651089</v>
      </c>
      <c r="I108" s="72" t="s">
        <v>18</v>
      </c>
      <c r="J108" s="51" t="s">
        <v>365</v>
      </c>
    </row>
    <row r="109" spans="1:14">
      <c r="A109" s="36"/>
      <c r="B109" s="98"/>
      <c r="C109" s="99"/>
      <c r="D109" s="99" t="s">
        <v>185</v>
      </c>
      <c r="E109" s="99" t="s">
        <v>19</v>
      </c>
      <c r="F109" s="99">
        <v>21.991</v>
      </c>
      <c r="G109" s="98"/>
      <c r="H109" s="41"/>
    </row>
    <row r="110" spans="1:14">
      <c r="A110" s="70" t="s">
        <v>455</v>
      </c>
      <c r="B110" s="65" t="s">
        <v>457</v>
      </c>
      <c r="C110" s="65" t="s">
        <v>21</v>
      </c>
      <c r="D110" s="65" t="s">
        <v>31</v>
      </c>
      <c r="E110" s="65" t="s">
        <v>17</v>
      </c>
      <c r="F110" s="65">
        <v>19.91</v>
      </c>
      <c r="G110" s="65">
        <v>0.95290514000000004</v>
      </c>
      <c r="H110" s="106">
        <v>2.5000000000000001E-2</v>
      </c>
      <c r="I110" s="72" t="s">
        <v>40</v>
      </c>
      <c r="K110" s="146" t="s">
        <v>458</v>
      </c>
      <c r="L110" s="146" t="s">
        <v>455</v>
      </c>
      <c r="M110" s="145">
        <v>44753</v>
      </c>
      <c r="N110" s="143" t="s">
        <v>24</v>
      </c>
    </row>
    <row r="111" spans="1:14">
      <c r="A111" s="70"/>
      <c r="B111" s="65"/>
      <c r="C111" s="65" t="s">
        <v>29</v>
      </c>
      <c r="D111" s="65" t="s">
        <v>31</v>
      </c>
      <c r="E111" s="65" t="s">
        <v>19</v>
      </c>
      <c r="F111" s="65">
        <v>20.893999999999998</v>
      </c>
      <c r="G111" s="65" t="s">
        <v>29</v>
      </c>
      <c r="H111" s="68" t="s">
        <v>29</v>
      </c>
    </row>
    <row r="112" spans="1:14">
      <c r="A112" s="68" t="s">
        <v>455</v>
      </c>
      <c r="B112" s="66" t="s">
        <v>459</v>
      </c>
      <c r="C112" s="66" t="s">
        <v>38</v>
      </c>
      <c r="D112" s="66" t="s">
        <v>39</v>
      </c>
      <c r="E112" s="66" t="s">
        <v>17</v>
      </c>
      <c r="F112" s="66">
        <v>16.687999999999999</v>
      </c>
      <c r="G112" s="66">
        <v>0.75607104000000003</v>
      </c>
      <c r="H112" s="247">
        <v>-0.35399999999999998</v>
      </c>
      <c r="I112" s="72" t="s">
        <v>90</v>
      </c>
      <c r="K112" s="4" t="s">
        <v>460</v>
      </c>
      <c r="L112" s="221" t="s">
        <v>455</v>
      </c>
      <c r="M112" s="165">
        <v>44936</v>
      </c>
      <c r="N112" s="214" t="s">
        <v>24</v>
      </c>
    </row>
    <row r="113" spans="1:14">
      <c r="A113" s="70" t="s">
        <v>29</v>
      </c>
      <c r="B113" s="65" t="s">
        <v>29</v>
      </c>
      <c r="C113" s="65" t="s">
        <v>29</v>
      </c>
      <c r="D113" s="65" t="s">
        <v>39</v>
      </c>
      <c r="E113" s="65" t="s">
        <v>19</v>
      </c>
      <c r="F113" s="65">
        <v>22.071999999999999</v>
      </c>
      <c r="G113" s="65" t="s">
        <v>29</v>
      </c>
      <c r="H113" s="65" t="s">
        <v>29</v>
      </c>
      <c r="M113" s="186"/>
      <c r="N113" s="251"/>
    </row>
    <row r="114" spans="1:14">
      <c r="A114" s="70" t="s">
        <v>461</v>
      </c>
      <c r="B114" s="65" t="s">
        <v>456</v>
      </c>
      <c r="C114" s="65" t="s">
        <v>38</v>
      </c>
      <c r="D114" s="65" t="s">
        <v>34</v>
      </c>
      <c r="E114" s="65" t="s">
        <v>17</v>
      </c>
      <c r="F114" s="65">
        <v>17.600999999999999</v>
      </c>
      <c r="G114" s="65">
        <v>0.84975619199999997</v>
      </c>
      <c r="H114" s="105">
        <v>-0.17399999999999999</v>
      </c>
      <c r="I114" s="72" t="s">
        <v>40</v>
      </c>
    </row>
    <row r="115" spans="1:14">
      <c r="A115" s="70"/>
      <c r="B115" s="65"/>
      <c r="C115" s="65" t="s">
        <v>29</v>
      </c>
      <c r="D115" s="65" t="s">
        <v>34</v>
      </c>
      <c r="E115" s="65" t="s">
        <v>19</v>
      </c>
      <c r="F115" s="65">
        <v>20.713000000000001</v>
      </c>
      <c r="G115" s="65" t="s">
        <v>29</v>
      </c>
      <c r="H115" s="68" t="s">
        <v>29</v>
      </c>
    </row>
    <row r="116" spans="1:14">
      <c r="A116" s="70" t="s">
        <v>461</v>
      </c>
      <c r="B116" s="65" t="s">
        <v>457</v>
      </c>
      <c r="C116" s="65" t="s">
        <v>21</v>
      </c>
      <c r="D116" s="65" t="s">
        <v>105</v>
      </c>
      <c r="E116" s="65" t="s">
        <v>17</v>
      </c>
      <c r="F116" s="65">
        <v>19.210999999999999</v>
      </c>
      <c r="G116" s="65">
        <v>1.0512750360000001</v>
      </c>
      <c r="H116" s="106">
        <v>0.214</v>
      </c>
      <c r="I116" s="72" t="s">
        <v>40</v>
      </c>
      <c r="K116" s="141" t="s">
        <v>462</v>
      </c>
      <c r="L116" s="141" t="s">
        <v>461</v>
      </c>
      <c r="M116" s="142">
        <v>44797</v>
      </c>
      <c r="N116" s="143" t="s">
        <v>24</v>
      </c>
    </row>
    <row r="117" spans="1:14">
      <c r="A117" s="70"/>
      <c r="B117" s="65"/>
      <c r="C117" s="65" t="s">
        <v>29</v>
      </c>
      <c r="D117" s="65" t="s">
        <v>105</v>
      </c>
      <c r="E117" s="65" t="s">
        <v>19</v>
      </c>
      <c r="F117" s="65">
        <v>18.274000000000001</v>
      </c>
      <c r="G117" s="65" t="s">
        <v>29</v>
      </c>
      <c r="H117" s="68" t="s">
        <v>29</v>
      </c>
    </row>
    <row r="118" spans="1:14">
      <c r="A118" s="70" t="s">
        <v>461</v>
      </c>
      <c r="B118" s="65" t="s">
        <v>463</v>
      </c>
      <c r="C118" s="65" t="s">
        <v>45</v>
      </c>
      <c r="D118" s="65" t="s">
        <v>59</v>
      </c>
      <c r="E118" s="65" t="s">
        <v>17</v>
      </c>
      <c r="F118" s="65">
        <v>26.577999999999999</v>
      </c>
      <c r="G118" s="65">
        <v>1.5697832380000001</v>
      </c>
      <c r="H118" s="106">
        <v>1.2110000000000001</v>
      </c>
      <c r="I118" s="72" t="s">
        <v>40</v>
      </c>
    </row>
    <row r="119" spans="1:14">
      <c r="A119" s="70"/>
      <c r="B119" s="65"/>
      <c r="C119" s="65" t="s">
        <v>29</v>
      </c>
      <c r="D119" s="65" t="s">
        <v>59</v>
      </c>
      <c r="E119" s="65" t="s">
        <v>19</v>
      </c>
      <c r="F119" s="65">
        <v>16.931000000000001</v>
      </c>
      <c r="G119" s="65" t="s">
        <v>29</v>
      </c>
      <c r="H119" s="68" t="s">
        <v>29</v>
      </c>
    </row>
    <row r="120" spans="1:14" s="126" customFormat="1">
      <c r="A120" s="139"/>
      <c r="B120" s="125"/>
      <c r="C120" s="125"/>
      <c r="D120" s="125"/>
      <c r="E120" s="125"/>
      <c r="F120" s="125"/>
      <c r="G120" s="125"/>
      <c r="H120" s="125"/>
    </row>
    <row r="121" spans="1:14">
      <c r="A121" s="4" t="s">
        <v>464</v>
      </c>
      <c r="B121" s="4" t="s">
        <v>465</v>
      </c>
      <c r="C121" s="4" t="s">
        <v>466</v>
      </c>
      <c r="D121" s="4" t="s">
        <v>42</v>
      </c>
      <c r="E121" s="4" t="s">
        <v>17</v>
      </c>
      <c r="F121" s="4">
        <v>20.946000000000002</v>
      </c>
      <c r="G121" s="3">
        <f t="shared" ref="G121" si="3">F121/F122</f>
        <v>0.86714965845580627</v>
      </c>
      <c r="H121" s="50">
        <f t="shared" ref="H121" si="4">(G121-0.94)/0.52</f>
        <v>-0.1400968106619109</v>
      </c>
      <c r="I121" s="72" t="s">
        <v>467</v>
      </c>
      <c r="J121" s="51" t="s">
        <v>468</v>
      </c>
    </row>
    <row r="122" spans="1:14" ht="51">
      <c r="A122" s="4"/>
      <c r="B122" s="4"/>
      <c r="C122" s="4"/>
      <c r="D122" s="4" t="s">
        <v>42</v>
      </c>
      <c r="E122" s="4" t="s">
        <v>19</v>
      </c>
      <c r="F122" s="4">
        <v>24.155000000000001</v>
      </c>
      <c r="G122" s="3"/>
      <c r="H122" s="50"/>
      <c r="J122" s="307" t="s">
        <v>469</v>
      </c>
    </row>
    <row r="123" spans="1:14">
      <c r="A123" s="52" t="s">
        <v>470</v>
      </c>
      <c r="B123" s="99" t="s">
        <v>471</v>
      </c>
      <c r="C123" s="99" t="s">
        <v>472</v>
      </c>
      <c r="D123" s="99" t="s">
        <v>89</v>
      </c>
      <c r="E123" s="99" t="s">
        <v>17</v>
      </c>
      <c r="F123" s="99">
        <v>19.96</v>
      </c>
      <c r="G123" s="98">
        <f>F123/F124</f>
        <v>0.84017342257018979</v>
      </c>
      <c r="H123" s="110">
        <f>(G123-0.94)/0.52</f>
        <v>-0.19197418736501953</v>
      </c>
      <c r="I123" s="72" t="s">
        <v>467</v>
      </c>
    </row>
    <row r="124" spans="1:14">
      <c r="A124" s="52"/>
      <c r="B124" s="99"/>
      <c r="C124" s="99"/>
      <c r="D124" s="99" t="s">
        <v>89</v>
      </c>
      <c r="E124" s="99" t="s">
        <v>19</v>
      </c>
      <c r="F124" s="99">
        <v>23.757000000000001</v>
      </c>
      <c r="G124" s="98"/>
      <c r="H124" s="110"/>
    </row>
    <row r="125" spans="1:14">
      <c r="A125" s="52" t="s">
        <v>470</v>
      </c>
      <c r="B125" s="99" t="s">
        <v>473</v>
      </c>
      <c r="C125" s="99" t="s">
        <v>472</v>
      </c>
      <c r="D125" s="99" t="s">
        <v>223</v>
      </c>
      <c r="E125" s="99" t="s">
        <v>17</v>
      </c>
      <c r="F125" s="99">
        <v>19.611000000000001</v>
      </c>
      <c r="G125" s="98">
        <f>F125/F126</f>
        <v>0.75435627187752441</v>
      </c>
      <c r="H125" s="110">
        <f>(G125-0.94)/0.52</f>
        <v>-0.35700716946629912</v>
      </c>
      <c r="I125" s="72" t="s">
        <v>467</v>
      </c>
    </row>
    <row r="126" spans="1:14">
      <c r="A126" s="52"/>
      <c r="B126" s="99"/>
      <c r="C126" s="99"/>
      <c r="D126" s="99" t="s">
        <v>223</v>
      </c>
      <c r="E126" s="99" t="s">
        <v>19</v>
      </c>
      <c r="F126" s="99">
        <v>25.997</v>
      </c>
      <c r="G126" s="98"/>
      <c r="H126" s="50"/>
    </row>
    <row r="127" spans="1:14">
      <c r="A127" s="52" t="s">
        <v>470</v>
      </c>
      <c r="B127" s="99" t="s">
        <v>474</v>
      </c>
      <c r="C127" s="99" t="s">
        <v>472</v>
      </c>
      <c r="D127" s="99" t="s">
        <v>303</v>
      </c>
      <c r="E127" s="99" t="s">
        <v>17</v>
      </c>
      <c r="F127" s="99">
        <v>19.715</v>
      </c>
      <c r="G127" s="98">
        <f>F127/F128</f>
        <v>0.77120168987638871</v>
      </c>
      <c r="H127" s="110">
        <f>(G127-0.94)/0.52</f>
        <v>-0.32461213485309853</v>
      </c>
      <c r="I127" s="72" t="s">
        <v>467</v>
      </c>
      <c r="J127" s="72"/>
      <c r="K127" s="141" t="s">
        <v>475</v>
      </c>
      <c r="L127" s="141" t="s">
        <v>470</v>
      </c>
      <c r="M127" s="142">
        <v>44797</v>
      </c>
      <c r="N127" s="143" t="s">
        <v>24</v>
      </c>
    </row>
    <row r="128" spans="1:14">
      <c r="A128" s="52"/>
      <c r="B128" s="99"/>
      <c r="C128" s="99"/>
      <c r="D128" s="99" t="s">
        <v>303</v>
      </c>
      <c r="E128" s="99" t="s">
        <v>19</v>
      </c>
      <c r="F128" s="99">
        <v>25.564</v>
      </c>
      <c r="G128" s="98"/>
      <c r="H128" s="50"/>
    </row>
    <row r="129" spans="1:14">
      <c r="A129" s="158" t="s">
        <v>470</v>
      </c>
      <c r="B129" s="159" t="s">
        <v>476</v>
      </c>
      <c r="C129" s="159" t="s">
        <v>45</v>
      </c>
      <c r="D129" s="159" t="s">
        <v>49</v>
      </c>
      <c r="E129" s="159" t="s">
        <v>17</v>
      </c>
      <c r="F129" s="159">
        <v>18.992000000000001</v>
      </c>
      <c r="G129" s="159">
        <v>0.79993260899999996</v>
      </c>
      <c r="H129" s="160">
        <v>-0.26900000000000002</v>
      </c>
      <c r="I129" s="72" t="s">
        <v>40</v>
      </c>
    </row>
    <row r="130" spans="1:14">
      <c r="A130" s="161"/>
      <c r="B130" s="141"/>
      <c r="C130" s="141" t="s">
        <v>29</v>
      </c>
      <c r="D130" s="162" t="s">
        <v>49</v>
      </c>
      <c r="E130" s="141" t="s">
        <v>19</v>
      </c>
      <c r="F130" s="141">
        <v>23.742000000000001</v>
      </c>
      <c r="G130" s="141" t="s">
        <v>29</v>
      </c>
      <c r="H130" s="141" t="s">
        <v>29</v>
      </c>
    </row>
    <row r="131" spans="1:14">
      <c r="A131" s="97"/>
      <c r="B131" s="97"/>
      <c r="C131" s="97"/>
      <c r="D131" s="97"/>
      <c r="E131" s="97"/>
      <c r="F131" s="97"/>
      <c r="G131" s="97"/>
      <c r="H131" s="97"/>
    </row>
    <row r="132" spans="1:14">
      <c r="A132" s="68" t="s">
        <v>477</v>
      </c>
      <c r="B132" s="66" t="s">
        <v>478</v>
      </c>
      <c r="C132" s="66" t="s">
        <v>38</v>
      </c>
      <c r="D132" s="66" t="s">
        <v>49</v>
      </c>
      <c r="E132" s="66" t="s">
        <v>17</v>
      </c>
      <c r="F132" s="66">
        <v>16.882000000000001</v>
      </c>
      <c r="G132" s="66">
        <v>0.81468970200000002</v>
      </c>
      <c r="H132" s="247">
        <v>-0.24099999999999999</v>
      </c>
      <c r="I132" s="72" t="s">
        <v>78</v>
      </c>
    </row>
    <row r="133" spans="1:14">
      <c r="A133" s="70" t="s">
        <v>29</v>
      </c>
      <c r="B133" s="65" t="s">
        <v>29</v>
      </c>
      <c r="C133" s="65" t="s">
        <v>29</v>
      </c>
      <c r="D133" s="65" t="s">
        <v>49</v>
      </c>
      <c r="E133" s="65" t="s">
        <v>19</v>
      </c>
      <c r="F133" s="65">
        <v>20.722000000000001</v>
      </c>
      <c r="G133" s="65" t="s">
        <v>29</v>
      </c>
      <c r="H133" s="65" t="s">
        <v>29</v>
      </c>
    </row>
    <row r="134" spans="1:14">
      <c r="A134" s="70" t="s">
        <v>477</v>
      </c>
      <c r="B134" s="65" t="s">
        <v>479</v>
      </c>
      <c r="C134" s="65" t="s">
        <v>21</v>
      </c>
      <c r="D134" s="65" t="s">
        <v>52</v>
      </c>
      <c r="E134" s="65" t="s">
        <v>17</v>
      </c>
      <c r="F134" s="65">
        <v>16.097000000000001</v>
      </c>
      <c r="G134" s="65">
        <v>0.796329277</v>
      </c>
      <c r="H134" s="247">
        <v>-0.27600000000000002</v>
      </c>
      <c r="I134" s="72" t="s">
        <v>78</v>
      </c>
    </row>
    <row r="135" spans="1:14">
      <c r="A135" s="70" t="s">
        <v>29</v>
      </c>
      <c r="B135" s="65" t="s">
        <v>29</v>
      </c>
      <c r="C135" s="65" t="s">
        <v>29</v>
      </c>
      <c r="D135" s="65" t="s">
        <v>52</v>
      </c>
      <c r="E135" s="65" t="s">
        <v>19</v>
      </c>
      <c r="F135" s="65">
        <v>20.213999999999999</v>
      </c>
      <c r="G135" s="65" t="s">
        <v>29</v>
      </c>
      <c r="H135" s="65" t="s">
        <v>29</v>
      </c>
    </row>
    <row r="136" spans="1:14">
      <c r="A136" s="70" t="s">
        <v>477</v>
      </c>
      <c r="B136" s="65" t="s">
        <v>480</v>
      </c>
      <c r="C136" s="65" t="s">
        <v>45</v>
      </c>
      <c r="D136" s="65" t="s">
        <v>55</v>
      </c>
      <c r="E136" s="65" t="s">
        <v>17</v>
      </c>
      <c r="F136" s="65">
        <v>24.541</v>
      </c>
      <c r="G136" s="65">
        <v>1.4493001830000001</v>
      </c>
      <c r="H136" s="267">
        <v>0.97899999999999998</v>
      </c>
      <c r="I136" s="72" t="s">
        <v>78</v>
      </c>
    </row>
    <row r="137" spans="1:14">
      <c r="A137" s="70" t="s">
        <v>29</v>
      </c>
      <c r="B137" s="65" t="s">
        <v>29</v>
      </c>
      <c r="C137" s="65" t="s">
        <v>29</v>
      </c>
      <c r="D137" s="65" t="s">
        <v>55</v>
      </c>
      <c r="E137" s="65" t="s">
        <v>19</v>
      </c>
      <c r="F137" s="65">
        <v>16.933</v>
      </c>
      <c r="G137" s="65" t="s">
        <v>29</v>
      </c>
      <c r="H137" s="65" t="s">
        <v>29</v>
      </c>
    </row>
    <row r="138" spans="1:14" s="126" customFormat="1">
      <c r="A138" s="133"/>
      <c r="B138" s="133"/>
      <c r="C138" s="133"/>
      <c r="D138" s="133"/>
      <c r="E138" s="133"/>
      <c r="F138" s="133"/>
      <c r="G138" s="133"/>
      <c r="H138" s="133"/>
    </row>
    <row r="139" spans="1:14">
      <c r="A139" s="198" t="s">
        <v>481</v>
      </c>
      <c r="B139" s="199" t="s">
        <v>482</v>
      </c>
      <c r="C139" s="199" t="s">
        <v>190</v>
      </c>
      <c r="D139" s="199" t="s">
        <v>81</v>
      </c>
      <c r="E139" s="199" t="s">
        <v>17</v>
      </c>
      <c r="F139" s="199">
        <v>17.57</v>
      </c>
      <c r="G139" s="199">
        <v>0.84414336499999998</v>
      </c>
      <c r="H139" s="205">
        <v>-0.184</v>
      </c>
      <c r="I139" s="72" t="s">
        <v>191</v>
      </c>
    </row>
    <row r="140" spans="1:14">
      <c r="A140" s="198" t="s">
        <v>29</v>
      </c>
      <c r="B140" s="199" t="s">
        <v>29</v>
      </c>
      <c r="C140" s="199" t="s">
        <v>29</v>
      </c>
      <c r="D140" s="199" t="s">
        <v>81</v>
      </c>
      <c r="E140" s="199" t="s">
        <v>19</v>
      </c>
      <c r="F140" s="199">
        <v>20.814</v>
      </c>
      <c r="G140" s="199" t="s">
        <v>29</v>
      </c>
      <c r="H140" s="206" t="s">
        <v>29</v>
      </c>
    </row>
    <row r="141" spans="1:14">
      <c r="A141" s="198" t="s">
        <v>481</v>
      </c>
      <c r="B141" s="199" t="s">
        <v>483</v>
      </c>
      <c r="C141" s="199" t="s">
        <v>411</v>
      </c>
      <c r="D141" s="199" t="s">
        <v>83</v>
      </c>
      <c r="E141" s="199" t="s">
        <v>17</v>
      </c>
      <c r="F141" s="199">
        <v>16.968</v>
      </c>
      <c r="G141" s="199">
        <v>0.85150800400000004</v>
      </c>
      <c r="H141" s="205">
        <v>-0.17</v>
      </c>
      <c r="I141" s="72" t="s">
        <v>191</v>
      </c>
      <c r="K141" s="89" t="s">
        <v>484</v>
      </c>
      <c r="L141" s="223" t="s">
        <v>485</v>
      </c>
      <c r="M141" s="165">
        <v>44907</v>
      </c>
      <c r="N141" s="181" t="s">
        <v>24</v>
      </c>
    </row>
    <row r="142" spans="1:14">
      <c r="A142" s="198" t="s">
        <v>29</v>
      </c>
      <c r="B142" s="199" t="s">
        <v>29</v>
      </c>
      <c r="C142" s="199" t="s">
        <v>29</v>
      </c>
      <c r="D142" s="199" t="s">
        <v>83</v>
      </c>
      <c r="E142" s="199" t="s">
        <v>19</v>
      </c>
      <c r="F142" s="199">
        <v>19.927</v>
      </c>
      <c r="G142" s="199" t="s">
        <v>29</v>
      </c>
      <c r="H142" s="206" t="s">
        <v>29</v>
      </c>
    </row>
    <row r="143" spans="1:14">
      <c r="A143" s="198" t="s">
        <v>481</v>
      </c>
      <c r="B143" s="199" t="s">
        <v>486</v>
      </c>
      <c r="C143" s="199" t="s">
        <v>487</v>
      </c>
      <c r="D143" s="199" t="s">
        <v>27</v>
      </c>
      <c r="E143" s="199" t="s">
        <v>17</v>
      </c>
      <c r="F143" s="199">
        <v>20.701000000000001</v>
      </c>
      <c r="G143" s="199">
        <v>1.2238250070000001</v>
      </c>
      <c r="H143" s="207">
        <v>0.54600000000000004</v>
      </c>
      <c r="I143" s="72" t="s">
        <v>191</v>
      </c>
      <c r="K143" s="146" t="s">
        <v>488</v>
      </c>
      <c r="L143" s="146" t="s">
        <v>485</v>
      </c>
      <c r="M143" s="165">
        <v>44825</v>
      </c>
      <c r="N143" s="143" t="s">
        <v>24</v>
      </c>
    </row>
    <row r="144" spans="1:14" ht="34">
      <c r="A144" s="198" t="s">
        <v>29</v>
      </c>
      <c r="B144" s="199" t="s">
        <v>29</v>
      </c>
      <c r="C144" s="199" t="s">
        <v>29</v>
      </c>
      <c r="D144" s="199" t="s">
        <v>27</v>
      </c>
      <c r="E144" s="199" t="s">
        <v>19</v>
      </c>
      <c r="F144" s="199">
        <v>16.914999999999999</v>
      </c>
      <c r="G144" s="199" t="s">
        <v>29</v>
      </c>
      <c r="H144" s="208" t="s">
        <v>29</v>
      </c>
      <c r="K144" s="228" t="s">
        <v>489</v>
      </c>
      <c r="L144" s="89" t="s">
        <v>485</v>
      </c>
      <c r="M144" s="165">
        <v>44859</v>
      </c>
      <c r="N144" s="229" t="s">
        <v>297</v>
      </c>
    </row>
    <row r="145" spans="1:14">
      <c r="A145" s="242"/>
      <c r="B145" s="243"/>
      <c r="C145" s="243"/>
      <c r="D145" s="243"/>
      <c r="E145" s="243"/>
      <c r="F145" s="243"/>
      <c r="G145" s="243"/>
      <c r="H145" s="332"/>
      <c r="K145" s="307"/>
      <c r="M145" s="186"/>
      <c r="N145" s="333"/>
    </row>
    <row r="146" spans="1:14">
      <c r="A146" s="242"/>
      <c r="B146" s="243"/>
      <c r="C146" s="243"/>
      <c r="D146" s="243"/>
      <c r="E146" s="243"/>
      <c r="F146" s="243"/>
      <c r="G146" s="243"/>
      <c r="H146" s="332"/>
      <c r="K146" s="307"/>
      <c r="M146" s="186"/>
      <c r="N146" s="333"/>
    </row>
    <row r="147" spans="1:14">
      <c r="A147" s="242"/>
      <c r="B147" s="243"/>
      <c r="C147" s="243"/>
      <c r="D147" s="243"/>
      <c r="E147" s="243"/>
      <c r="F147" s="243"/>
      <c r="G147" s="243"/>
      <c r="H147" s="332"/>
      <c r="K147" s="307"/>
      <c r="M147" s="186"/>
      <c r="N147" s="333"/>
    </row>
    <row r="148" spans="1:14">
      <c r="A148" s="198" t="s">
        <v>490</v>
      </c>
      <c r="B148" s="199" t="s">
        <v>491</v>
      </c>
      <c r="C148" s="199" t="s">
        <v>15</v>
      </c>
      <c r="D148" s="199" t="s">
        <v>31</v>
      </c>
      <c r="E148" s="199" t="s">
        <v>17</v>
      </c>
      <c r="F148" s="199">
        <v>17.661000000000001</v>
      </c>
      <c r="G148" s="199">
        <v>0.849494949</v>
      </c>
      <c r="H148" s="231">
        <v>-0.17399999999999999</v>
      </c>
      <c r="I148" s="72" t="s">
        <v>492</v>
      </c>
      <c r="N148" s="227" t="s">
        <v>493</v>
      </c>
    </row>
    <row r="149" spans="1:14">
      <c r="A149" s="198" t="s">
        <v>29</v>
      </c>
      <c r="B149" s="199" t="s">
        <v>29</v>
      </c>
      <c r="C149" s="199" t="s">
        <v>29</v>
      </c>
      <c r="D149" s="199" t="s">
        <v>31</v>
      </c>
      <c r="E149" s="199" t="s">
        <v>19</v>
      </c>
      <c r="F149" s="199">
        <v>20.79</v>
      </c>
      <c r="G149" s="199" t="s">
        <v>29</v>
      </c>
      <c r="H149" s="232" t="s">
        <v>29</v>
      </c>
    </row>
    <row r="150" spans="1:14">
      <c r="A150" s="198" t="s">
        <v>490</v>
      </c>
      <c r="B150" s="199" t="s">
        <v>494</v>
      </c>
      <c r="C150" s="199" t="s">
        <v>30</v>
      </c>
      <c r="D150" s="199" t="s">
        <v>34</v>
      </c>
      <c r="E150" s="199" t="s">
        <v>17</v>
      </c>
      <c r="F150" s="199">
        <v>17.536000000000001</v>
      </c>
      <c r="G150" s="199">
        <v>0.87882128900000001</v>
      </c>
      <c r="H150" s="231">
        <v>-0.11799999999999999</v>
      </c>
      <c r="I150" s="72" t="s">
        <v>492</v>
      </c>
      <c r="K150" s="89" t="s">
        <v>484</v>
      </c>
      <c r="L150" s="89" t="s">
        <v>490</v>
      </c>
      <c r="M150" s="165">
        <v>44839</v>
      </c>
      <c r="N150" s="181" t="s">
        <v>24</v>
      </c>
    </row>
    <row r="151" spans="1:14">
      <c r="A151" s="198" t="s">
        <v>29</v>
      </c>
      <c r="B151" s="199" t="s">
        <v>29</v>
      </c>
      <c r="C151" s="199" t="s">
        <v>29</v>
      </c>
      <c r="D151" s="199" t="s">
        <v>34</v>
      </c>
      <c r="E151" s="199" t="s">
        <v>19</v>
      </c>
      <c r="F151" s="199">
        <v>19.954000000000001</v>
      </c>
      <c r="G151" s="199" t="s">
        <v>29</v>
      </c>
      <c r="H151" s="232" t="s">
        <v>29</v>
      </c>
    </row>
    <row r="152" spans="1:14">
      <c r="A152" s="198" t="s">
        <v>490</v>
      </c>
      <c r="B152" s="199" t="s">
        <v>495</v>
      </c>
      <c r="C152" s="199" t="s">
        <v>33</v>
      </c>
      <c r="D152" s="199" t="s">
        <v>105</v>
      </c>
      <c r="E152" s="199" t="s">
        <v>17</v>
      </c>
      <c r="F152" s="199">
        <v>17.962</v>
      </c>
      <c r="G152" s="199">
        <v>1.0018405930000001</v>
      </c>
      <c r="H152" s="233">
        <v>0.11899999999999999</v>
      </c>
      <c r="I152" s="72" t="s">
        <v>492</v>
      </c>
    </row>
    <row r="153" spans="1:14">
      <c r="A153" s="198" t="s">
        <v>29</v>
      </c>
      <c r="B153" s="199" t="s">
        <v>29</v>
      </c>
      <c r="C153" s="199" t="s">
        <v>29</v>
      </c>
      <c r="D153" s="199" t="s">
        <v>105</v>
      </c>
      <c r="E153" s="199" t="s">
        <v>19</v>
      </c>
      <c r="F153" s="199">
        <v>17.928999999999998</v>
      </c>
      <c r="G153" s="199" t="s">
        <v>29</v>
      </c>
      <c r="H153" s="234" t="s">
        <v>29</v>
      </c>
    </row>
    <row r="155" spans="1:14" s="126" customFormat="1"/>
    <row r="156" spans="1:14" ht="17">
      <c r="A156" s="192" t="s">
        <v>496</v>
      </c>
      <c r="B156" s="193" t="s">
        <v>430</v>
      </c>
      <c r="C156" s="193" t="s">
        <v>15</v>
      </c>
      <c r="D156" s="193" t="s">
        <v>68</v>
      </c>
      <c r="E156" s="193" t="s">
        <v>17</v>
      </c>
      <c r="F156" s="193">
        <v>18.327999999999999</v>
      </c>
      <c r="G156" s="193">
        <v>0.89470344199999996</v>
      </c>
      <c r="H156" s="194">
        <v>-8.6999999999999994E-2</v>
      </c>
      <c r="I156" s="72" t="s">
        <v>497</v>
      </c>
      <c r="K156" s="80" t="s">
        <v>498</v>
      </c>
      <c r="L156" s="226" t="s">
        <v>496</v>
      </c>
      <c r="M156" s="165">
        <v>44825</v>
      </c>
      <c r="N156" s="214" t="s">
        <v>24</v>
      </c>
    </row>
    <row r="157" spans="1:14" ht="17">
      <c r="A157" s="192" t="s">
        <v>29</v>
      </c>
      <c r="B157" s="193" t="s">
        <v>29</v>
      </c>
      <c r="C157" s="193" t="s">
        <v>29</v>
      </c>
      <c r="D157" s="193" t="s">
        <v>68</v>
      </c>
      <c r="E157" s="193" t="s">
        <v>19</v>
      </c>
      <c r="F157" s="193">
        <v>20.484999999999999</v>
      </c>
      <c r="G157" s="193" t="s">
        <v>29</v>
      </c>
      <c r="H157" s="195" t="s">
        <v>29</v>
      </c>
    </row>
    <row r="158" spans="1:14" ht="17">
      <c r="A158" s="192" t="s">
        <v>496</v>
      </c>
      <c r="B158" s="193" t="s">
        <v>431</v>
      </c>
      <c r="C158" s="193" t="s">
        <v>30</v>
      </c>
      <c r="D158" s="193" t="s">
        <v>71</v>
      </c>
      <c r="E158" s="193" t="s">
        <v>17</v>
      </c>
      <c r="F158" s="193">
        <v>16.952000000000002</v>
      </c>
      <c r="G158" s="193">
        <v>0.83057324799999999</v>
      </c>
      <c r="H158" s="194">
        <v>-0.21</v>
      </c>
      <c r="I158" s="72" t="s">
        <v>497</v>
      </c>
    </row>
    <row r="159" spans="1:14" ht="17">
      <c r="A159" s="192" t="s">
        <v>29</v>
      </c>
      <c r="B159" s="193" t="s">
        <v>29</v>
      </c>
      <c r="C159" s="193" t="s">
        <v>29</v>
      </c>
      <c r="D159" s="193" t="s">
        <v>71</v>
      </c>
      <c r="E159" s="193" t="s">
        <v>19</v>
      </c>
      <c r="F159" s="193">
        <v>20.41</v>
      </c>
      <c r="G159" s="193" t="s">
        <v>29</v>
      </c>
      <c r="H159" s="195" t="s">
        <v>29</v>
      </c>
    </row>
    <row r="160" spans="1:14" ht="17">
      <c r="A160" s="192" t="s">
        <v>496</v>
      </c>
      <c r="B160" s="193" t="s">
        <v>499</v>
      </c>
      <c r="C160" s="193" t="s">
        <v>33</v>
      </c>
      <c r="D160" s="193" t="s">
        <v>74</v>
      </c>
      <c r="E160" s="193" t="s">
        <v>17</v>
      </c>
      <c r="F160" s="193">
        <v>17.061</v>
      </c>
      <c r="G160" s="193">
        <v>0.75796348099999999</v>
      </c>
      <c r="H160" s="194">
        <v>-0.35</v>
      </c>
      <c r="I160" s="72" t="s">
        <v>497</v>
      </c>
      <c r="K160" s="4" t="s">
        <v>500</v>
      </c>
      <c r="L160" s="226" t="s">
        <v>496</v>
      </c>
      <c r="M160" s="165">
        <v>44859</v>
      </c>
      <c r="N160" s="214" t="s">
        <v>24</v>
      </c>
    </row>
    <row r="161" spans="1:14" ht="17">
      <c r="A161" s="192" t="s">
        <v>29</v>
      </c>
      <c r="B161" s="193" t="s">
        <v>29</v>
      </c>
      <c r="C161" s="193" t="s">
        <v>29</v>
      </c>
      <c r="D161" s="193" t="s">
        <v>74</v>
      </c>
      <c r="E161" s="193" t="s">
        <v>19</v>
      </c>
      <c r="F161" s="193">
        <v>22.509</v>
      </c>
      <c r="G161" s="193" t="s">
        <v>29</v>
      </c>
      <c r="H161" s="195" t="s">
        <v>29</v>
      </c>
    </row>
    <row r="168" spans="1:14" s="126" customFormat="1"/>
    <row r="169" spans="1:14">
      <c r="K169" s="84" t="s">
        <v>501</v>
      </c>
      <c r="L169" s="84" t="s">
        <v>502</v>
      </c>
      <c r="M169" s="186">
        <v>44825</v>
      </c>
      <c r="N169" s="143" t="s">
        <v>24</v>
      </c>
    </row>
    <row r="175" spans="1:14">
      <c r="A175" s="3" t="s">
        <v>503</v>
      </c>
      <c r="B175" s="3" t="s">
        <v>435</v>
      </c>
      <c r="C175" s="3" t="s">
        <v>38</v>
      </c>
      <c r="D175" s="7" t="s">
        <v>31</v>
      </c>
      <c r="E175" s="7" t="s">
        <v>17</v>
      </c>
      <c r="F175" s="7">
        <v>17.599</v>
      </c>
      <c r="G175" s="3">
        <f t="shared" ref="G175:G179" si="5">F175/F176</f>
        <v>0.7910373966199209</v>
      </c>
      <c r="H175" s="189">
        <f t="shared" ref="H175:H179" si="6">(G175-0.94)/0.52</f>
        <v>-0.28646654496169049</v>
      </c>
      <c r="I175" s="72" t="s">
        <v>245</v>
      </c>
    </row>
    <row r="176" spans="1:14">
      <c r="A176" s="7"/>
      <c r="B176" s="7"/>
      <c r="C176" s="7"/>
      <c r="D176" s="7" t="s">
        <v>31</v>
      </c>
      <c r="E176" s="7" t="s">
        <v>19</v>
      </c>
      <c r="F176" s="7">
        <v>22.248000000000001</v>
      </c>
      <c r="G176" s="3"/>
      <c r="H176" s="189"/>
    </row>
    <row r="177" spans="1:14">
      <c r="A177" s="3" t="s">
        <v>503</v>
      </c>
      <c r="B177" s="3" t="s">
        <v>437</v>
      </c>
      <c r="C177" s="3" t="s">
        <v>21</v>
      </c>
      <c r="D177" s="7" t="s">
        <v>34</v>
      </c>
      <c r="E177" s="7" t="s">
        <v>17</v>
      </c>
      <c r="F177" s="7">
        <v>16.763999999999999</v>
      </c>
      <c r="G177" s="3">
        <f t="shared" si="5"/>
        <v>0.85574272588055122</v>
      </c>
      <c r="H177" s="189">
        <f t="shared" si="6"/>
        <v>-0.1620332194604783</v>
      </c>
      <c r="I177" s="72" t="s">
        <v>245</v>
      </c>
    </row>
    <row r="178" spans="1:14">
      <c r="A178" s="7"/>
      <c r="B178" s="7"/>
      <c r="C178" s="7"/>
      <c r="D178" s="7" t="s">
        <v>34</v>
      </c>
      <c r="E178" s="7" t="s">
        <v>19</v>
      </c>
      <c r="F178" s="7">
        <v>19.59</v>
      </c>
      <c r="G178" s="3"/>
      <c r="H178" s="189"/>
    </row>
    <row r="179" spans="1:14">
      <c r="A179" s="3" t="s">
        <v>503</v>
      </c>
      <c r="B179" s="3" t="s">
        <v>438</v>
      </c>
      <c r="C179" s="3" t="s">
        <v>45</v>
      </c>
      <c r="D179" s="7" t="s">
        <v>105</v>
      </c>
      <c r="E179" s="7" t="s">
        <v>17</v>
      </c>
      <c r="F179" s="7">
        <v>17.977</v>
      </c>
      <c r="G179" s="3">
        <f t="shared" si="5"/>
        <v>0.88460781419151668</v>
      </c>
      <c r="H179" s="189">
        <f t="shared" si="6"/>
        <v>-0.1065234342470832</v>
      </c>
      <c r="I179" s="72" t="s">
        <v>245</v>
      </c>
    </row>
    <row r="180" spans="1:14">
      <c r="A180" s="7"/>
      <c r="B180" s="7"/>
      <c r="C180" s="7"/>
      <c r="D180" s="7" t="s">
        <v>105</v>
      </c>
      <c r="E180" s="7" t="s">
        <v>19</v>
      </c>
      <c r="F180" s="7">
        <v>20.321999999999999</v>
      </c>
      <c r="G180" s="3"/>
      <c r="H180" s="189"/>
    </row>
    <row r="181" spans="1:14" s="126" customFormat="1"/>
    <row r="182" spans="1:14">
      <c r="A182" s="198" t="s">
        <v>504</v>
      </c>
      <c r="B182" s="199" t="s">
        <v>505</v>
      </c>
      <c r="C182" s="199" t="s">
        <v>15</v>
      </c>
      <c r="D182" s="199" t="s">
        <v>81</v>
      </c>
      <c r="E182" s="199" t="s">
        <v>17</v>
      </c>
      <c r="F182" s="199">
        <v>14.532</v>
      </c>
      <c r="G182" s="199">
        <v>0.69487878400000003</v>
      </c>
      <c r="H182" s="231">
        <v>-0.47099999999999997</v>
      </c>
      <c r="I182" s="72" t="s">
        <v>492</v>
      </c>
    </row>
    <row r="183" spans="1:14">
      <c r="A183" s="198" t="s">
        <v>29</v>
      </c>
      <c r="B183" s="199" t="s">
        <v>29</v>
      </c>
      <c r="C183" s="199" t="s">
        <v>29</v>
      </c>
      <c r="D183" s="199" t="s">
        <v>81</v>
      </c>
      <c r="E183" s="199" t="s">
        <v>19</v>
      </c>
      <c r="F183" s="199">
        <v>20.913</v>
      </c>
      <c r="G183" s="199" t="s">
        <v>29</v>
      </c>
      <c r="H183" s="232" t="s">
        <v>29</v>
      </c>
    </row>
    <row r="184" spans="1:14" ht="34">
      <c r="A184" s="198" t="s">
        <v>504</v>
      </c>
      <c r="B184" s="199" t="s">
        <v>506</v>
      </c>
      <c r="C184" s="199" t="s">
        <v>30</v>
      </c>
      <c r="D184" s="199" t="s">
        <v>83</v>
      </c>
      <c r="E184" s="199" t="s">
        <v>17</v>
      </c>
      <c r="F184" s="199">
        <v>18.033999999999999</v>
      </c>
      <c r="G184" s="199">
        <v>1.0105912020000001</v>
      </c>
      <c r="H184" s="233">
        <v>0.13600000000000001</v>
      </c>
      <c r="I184" s="72" t="s">
        <v>492</v>
      </c>
      <c r="K184" s="215" t="s">
        <v>507</v>
      </c>
      <c r="L184" s="89" t="s">
        <v>504</v>
      </c>
      <c r="M184" s="165">
        <v>44839</v>
      </c>
      <c r="N184" s="181" t="s">
        <v>24</v>
      </c>
    </row>
    <row r="185" spans="1:14">
      <c r="A185" s="198" t="s">
        <v>29</v>
      </c>
      <c r="B185" s="199" t="s">
        <v>29</v>
      </c>
      <c r="C185" s="199" t="s">
        <v>29</v>
      </c>
      <c r="D185" s="199" t="s">
        <v>83</v>
      </c>
      <c r="E185" s="199" t="s">
        <v>19</v>
      </c>
      <c r="F185" s="199">
        <v>17.844999999999999</v>
      </c>
      <c r="G185" s="199" t="s">
        <v>29</v>
      </c>
      <c r="H185" s="234" t="s">
        <v>29</v>
      </c>
    </row>
    <row r="186" spans="1:14">
      <c r="A186" s="198" t="s">
        <v>504</v>
      </c>
      <c r="B186" s="199" t="s">
        <v>508</v>
      </c>
      <c r="C186" s="199" t="s">
        <v>33</v>
      </c>
      <c r="D186" s="199" t="s">
        <v>27</v>
      </c>
      <c r="E186" s="199" t="s">
        <v>17</v>
      </c>
      <c r="F186" s="199">
        <v>27.263999999999999</v>
      </c>
      <c r="G186" s="199">
        <v>1.5816219979999999</v>
      </c>
      <c r="H186" s="233">
        <v>1.234</v>
      </c>
      <c r="I186" s="72" t="s">
        <v>492</v>
      </c>
    </row>
    <row r="187" spans="1:14">
      <c r="A187" s="198" t="s">
        <v>29</v>
      </c>
      <c r="B187" s="199" t="s">
        <v>29</v>
      </c>
      <c r="C187" s="199" t="s">
        <v>29</v>
      </c>
      <c r="D187" s="199" t="s">
        <v>27</v>
      </c>
      <c r="E187" s="199" t="s">
        <v>19</v>
      </c>
      <c r="F187" s="199">
        <v>17.238</v>
      </c>
      <c r="G187" s="199" t="s">
        <v>29</v>
      </c>
      <c r="H187" s="234" t="s">
        <v>29</v>
      </c>
    </row>
    <row r="189" spans="1:14">
      <c r="A189" s="68" t="s">
        <v>509</v>
      </c>
      <c r="B189" s="66" t="s">
        <v>510</v>
      </c>
      <c r="C189" s="66" t="s">
        <v>38</v>
      </c>
      <c r="D189" s="66" t="s">
        <v>68</v>
      </c>
      <c r="E189" s="66" t="s">
        <v>17</v>
      </c>
      <c r="F189" s="66">
        <v>16.571999999999999</v>
      </c>
      <c r="G189" s="66">
        <v>0.84121827400000004</v>
      </c>
      <c r="H189" s="247">
        <v>-0.19</v>
      </c>
      <c r="I189" s="72" t="s">
        <v>90</v>
      </c>
    </row>
    <row r="190" spans="1:14">
      <c r="A190" s="70" t="s">
        <v>29</v>
      </c>
      <c r="B190" s="65" t="s">
        <v>29</v>
      </c>
      <c r="C190" s="65" t="s">
        <v>29</v>
      </c>
      <c r="D190" s="65" t="s">
        <v>68</v>
      </c>
      <c r="E190" s="65" t="s">
        <v>19</v>
      </c>
      <c r="F190" s="65">
        <v>19.7</v>
      </c>
      <c r="G190" s="65" t="s">
        <v>29</v>
      </c>
      <c r="H190" s="65" t="s">
        <v>29</v>
      </c>
    </row>
    <row r="191" spans="1:14">
      <c r="A191" s="70" t="s">
        <v>509</v>
      </c>
      <c r="B191" s="65" t="s">
        <v>511</v>
      </c>
      <c r="C191" s="65" t="s">
        <v>21</v>
      </c>
      <c r="D191" s="65" t="s">
        <v>71</v>
      </c>
      <c r="E191" s="65" t="s">
        <v>17</v>
      </c>
      <c r="F191" s="65">
        <v>16.018000000000001</v>
      </c>
      <c r="G191" s="65">
        <v>0.88644161600000004</v>
      </c>
      <c r="H191" s="247">
        <v>-0.10299999999999999</v>
      </c>
      <c r="I191" s="72" t="s">
        <v>90</v>
      </c>
      <c r="K191" s="89" t="s">
        <v>512</v>
      </c>
      <c r="L191" s="89" t="s">
        <v>509</v>
      </c>
      <c r="M191" s="165">
        <v>44936</v>
      </c>
      <c r="N191" s="214" t="s">
        <v>24</v>
      </c>
    </row>
    <row r="192" spans="1:14">
      <c r="A192" s="70" t="s">
        <v>29</v>
      </c>
      <c r="B192" s="65" t="s">
        <v>29</v>
      </c>
      <c r="C192" s="65" t="s">
        <v>29</v>
      </c>
      <c r="D192" s="65" t="s">
        <v>71</v>
      </c>
      <c r="E192" s="65" t="s">
        <v>19</v>
      </c>
      <c r="F192" s="65">
        <v>18.07</v>
      </c>
      <c r="G192" s="65" t="s">
        <v>29</v>
      </c>
      <c r="H192" s="65" t="s">
        <v>29</v>
      </c>
    </row>
    <row r="193" spans="1:14">
      <c r="A193" s="70" t="s">
        <v>509</v>
      </c>
      <c r="B193" s="65" t="s">
        <v>513</v>
      </c>
      <c r="C193" s="65" t="s">
        <v>45</v>
      </c>
      <c r="D193" s="65" t="s">
        <v>74</v>
      </c>
      <c r="E193" s="65" t="s">
        <v>17</v>
      </c>
      <c r="F193" s="65">
        <v>24.023</v>
      </c>
      <c r="G193" s="65">
        <v>1.485928125</v>
      </c>
      <c r="H193" s="249">
        <v>1.05</v>
      </c>
      <c r="I193" s="72" t="s">
        <v>90</v>
      </c>
      <c r="K193" s="89" t="s">
        <v>514</v>
      </c>
      <c r="L193" s="89" t="s">
        <v>515</v>
      </c>
      <c r="M193" s="165">
        <v>44950</v>
      </c>
      <c r="N193" s="166" t="s">
        <v>297</v>
      </c>
    </row>
    <row r="194" spans="1:14">
      <c r="A194" s="70" t="s">
        <v>29</v>
      </c>
      <c r="B194" s="65" t="s">
        <v>29</v>
      </c>
      <c r="C194" s="65" t="s">
        <v>29</v>
      </c>
      <c r="D194" s="65" t="s">
        <v>74</v>
      </c>
      <c r="E194" s="65" t="s">
        <v>19</v>
      </c>
      <c r="F194" s="65">
        <v>16.167000000000002</v>
      </c>
      <c r="G194" s="65" t="s">
        <v>29</v>
      </c>
      <c r="H194" s="65" t="s">
        <v>29</v>
      </c>
    </row>
    <row r="195" spans="1:14" s="126" customFormat="1"/>
    <row r="196" spans="1:14">
      <c r="A196" s="198" t="s">
        <v>516</v>
      </c>
      <c r="B196" s="199" t="s">
        <v>378</v>
      </c>
      <c r="C196" s="199" t="s">
        <v>15</v>
      </c>
      <c r="D196" s="199" t="s">
        <v>68</v>
      </c>
      <c r="E196" s="199" t="s">
        <v>17</v>
      </c>
      <c r="F196" s="199">
        <v>16.532</v>
      </c>
      <c r="G196" s="199">
        <v>0.72006620499999996</v>
      </c>
      <c r="H196" s="231">
        <v>-0.42299999999999999</v>
      </c>
      <c r="I196" s="72" t="s">
        <v>492</v>
      </c>
    </row>
    <row r="197" spans="1:14">
      <c r="A197" s="198" t="s">
        <v>29</v>
      </c>
      <c r="B197" s="199" t="s">
        <v>29</v>
      </c>
      <c r="C197" s="199" t="s">
        <v>29</v>
      </c>
      <c r="D197" s="199" t="s">
        <v>68</v>
      </c>
      <c r="E197" s="199" t="s">
        <v>19</v>
      </c>
      <c r="F197" s="199">
        <v>22.959</v>
      </c>
      <c r="G197" s="199" t="s">
        <v>29</v>
      </c>
      <c r="H197" s="232" t="s">
        <v>29</v>
      </c>
    </row>
    <row r="198" spans="1:14">
      <c r="A198" s="198" t="s">
        <v>516</v>
      </c>
      <c r="B198" s="199" t="s">
        <v>517</v>
      </c>
      <c r="C198" s="199" t="s">
        <v>30</v>
      </c>
      <c r="D198" s="199" t="s">
        <v>71</v>
      </c>
      <c r="E198" s="199" t="s">
        <v>17</v>
      </c>
      <c r="F198" s="199">
        <v>16.795000000000002</v>
      </c>
      <c r="G198" s="199">
        <v>0.85579617799999996</v>
      </c>
      <c r="H198" s="231">
        <v>-0.16200000000000001</v>
      </c>
      <c r="I198" s="72" t="s">
        <v>492</v>
      </c>
    </row>
    <row r="199" spans="1:14">
      <c r="A199" s="198" t="s">
        <v>29</v>
      </c>
      <c r="B199" s="199" t="s">
        <v>29</v>
      </c>
      <c r="C199" s="199" t="s">
        <v>29</v>
      </c>
      <c r="D199" s="199" t="s">
        <v>71</v>
      </c>
      <c r="E199" s="199" t="s">
        <v>19</v>
      </c>
      <c r="F199" s="199">
        <v>19.625</v>
      </c>
      <c r="G199" s="199" t="s">
        <v>29</v>
      </c>
      <c r="H199" s="232" t="s">
        <v>29</v>
      </c>
    </row>
    <row r="200" spans="1:14">
      <c r="A200" s="198" t="s">
        <v>516</v>
      </c>
      <c r="B200" s="199" t="s">
        <v>518</v>
      </c>
      <c r="C200" s="199" t="s">
        <v>33</v>
      </c>
      <c r="D200" s="199" t="s">
        <v>74</v>
      </c>
      <c r="E200" s="199" t="s">
        <v>17</v>
      </c>
      <c r="F200" s="199">
        <v>18.626000000000001</v>
      </c>
      <c r="G200" s="199">
        <v>0.88049541499999995</v>
      </c>
      <c r="H200" s="231">
        <v>-0.114</v>
      </c>
      <c r="I200" s="72" t="s">
        <v>492</v>
      </c>
    </row>
    <row r="201" spans="1:14">
      <c r="A201" s="198" t="s">
        <v>29</v>
      </c>
      <c r="B201" s="199" t="s">
        <v>29</v>
      </c>
      <c r="C201" s="199" t="s">
        <v>29</v>
      </c>
      <c r="D201" s="199" t="s">
        <v>74</v>
      </c>
      <c r="E201" s="199" t="s">
        <v>19</v>
      </c>
      <c r="F201" s="199">
        <v>21.154</v>
      </c>
      <c r="G201" s="199" t="s">
        <v>29</v>
      </c>
      <c r="H201" s="232" t="s">
        <v>29</v>
      </c>
      <c r="K201" s="4" t="s">
        <v>519</v>
      </c>
      <c r="L201" s="221" t="s">
        <v>516</v>
      </c>
      <c r="M201" s="165">
        <v>44936</v>
      </c>
      <c r="N201" s="214" t="s">
        <v>24</v>
      </c>
    </row>
    <row r="202" spans="1:14" s="126" customFormat="1"/>
    <row r="203" spans="1:14">
      <c r="A203" s="198" t="s">
        <v>520</v>
      </c>
      <c r="B203" s="199" t="s">
        <v>419</v>
      </c>
      <c r="C203" s="199" t="s">
        <v>15</v>
      </c>
      <c r="D203" s="199" t="s">
        <v>105</v>
      </c>
      <c r="E203" s="199" t="s">
        <v>17</v>
      </c>
      <c r="F203" s="199">
        <v>17.452999999999999</v>
      </c>
      <c r="G203" s="199">
        <v>0.79223785700000005</v>
      </c>
      <c r="H203" s="235">
        <v>-0.28399999999999997</v>
      </c>
      <c r="I203" s="72" t="s">
        <v>28</v>
      </c>
    </row>
    <row r="204" spans="1:14">
      <c r="A204" s="198" t="s">
        <v>29</v>
      </c>
      <c r="B204" s="199" t="s">
        <v>29</v>
      </c>
      <c r="C204" s="199" t="s">
        <v>29</v>
      </c>
      <c r="D204" s="199" t="s">
        <v>105</v>
      </c>
      <c r="E204" s="199" t="s">
        <v>19</v>
      </c>
      <c r="F204" s="199">
        <v>22.03</v>
      </c>
      <c r="G204" s="199" t="s">
        <v>29</v>
      </c>
      <c r="H204" s="199" t="s">
        <v>29</v>
      </c>
    </row>
    <row r="205" spans="1:14">
      <c r="A205" s="237" t="s">
        <v>520</v>
      </c>
      <c r="B205" s="238" t="s">
        <v>521</v>
      </c>
      <c r="C205" s="238" t="s">
        <v>30</v>
      </c>
      <c r="D205" s="239" t="s">
        <v>522</v>
      </c>
      <c r="E205" s="239" t="s">
        <v>522</v>
      </c>
      <c r="F205" s="239" t="s">
        <v>522</v>
      </c>
      <c r="G205" s="239" t="s">
        <v>522</v>
      </c>
      <c r="H205" s="240" t="s">
        <v>522</v>
      </c>
      <c r="I205" s="72" t="s">
        <v>28</v>
      </c>
    </row>
    <row r="206" spans="1:14">
      <c r="A206" s="237" t="s">
        <v>29</v>
      </c>
      <c r="B206" s="238" t="s">
        <v>29</v>
      </c>
      <c r="C206" s="238" t="s">
        <v>29</v>
      </c>
      <c r="D206" s="239" t="s">
        <v>522</v>
      </c>
      <c r="E206" s="239" t="s">
        <v>522</v>
      </c>
      <c r="F206" s="239" t="s">
        <v>522</v>
      </c>
      <c r="G206" s="239" t="s">
        <v>522</v>
      </c>
      <c r="H206" s="240" t="s">
        <v>522</v>
      </c>
    </row>
    <row r="207" spans="1:14">
      <c r="A207" s="198" t="s">
        <v>520</v>
      </c>
      <c r="B207" s="199" t="s">
        <v>422</v>
      </c>
      <c r="C207" s="199" t="s">
        <v>33</v>
      </c>
      <c r="D207" s="241" t="s">
        <v>49</v>
      </c>
      <c r="E207" s="241" t="s">
        <v>17</v>
      </c>
      <c r="F207" s="241">
        <v>18.027000000000001</v>
      </c>
      <c r="G207" s="241">
        <v>0.95315391500000002</v>
      </c>
      <c r="H207" s="233">
        <v>2.5000000000000001E-2</v>
      </c>
      <c r="I207" s="72" t="s">
        <v>28</v>
      </c>
    </row>
    <row r="208" spans="1:14">
      <c r="A208" s="198" t="s">
        <v>29</v>
      </c>
      <c r="B208" s="199" t="s">
        <v>29</v>
      </c>
      <c r="C208" s="199" t="s">
        <v>29</v>
      </c>
      <c r="D208" s="241" t="s">
        <v>49</v>
      </c>
      <c r="E208" s="241" t="s">
        <v>19</v>
      </c>
      <c r="F208" s="241">
        <v>18.913</v>
      </c>
      <c r="G208" s="241" t="s">
        <v>29</v>
      </c>
      <c r="H208" s="241" t="s">
        <v>29</v>
      </c>
    </row>
    <row r="210" spans="1:9">
      <c r="A210" s="198" t="s">
        <v>523</v>
      </c>
      <c r="B210" s="199" t="s">
        <v>419</v>
      </c>
      <c r="C210" s="199" t="s">
        <v>38</v>
      </c>
      <c r="D210" s="199" t="s">
        <v>173</v>
      </c>
      <c r="E210" s="199" t="s">
        <v>17</v>
      </c>
      <c r="F210" s="199">
        <v>19.396000000000001</v>
      </c>
      <c r="G210" s="199">
        <v>0.85933277200000002</v>
      </c>
      <c r="H210" s="254">
        <v>-0.155</v>
      </c>
      <c r="I210" s="72" t="s">
        <v>524</v>
      </c>
    </row>
    <row r="211" spans="1:9">
      <c r="A211" s="198" t="s">
        <v>29</v>
      </c>
      <c r="B211" s="199" t="s">
        <v>29</v>
      </c>
      <c r="C211" s="199" t="s">
        <v>29</v>
      </c>
      <c r="D211" s="199" t="s">
        <v>173</v>
      </c>
      <c r="E211" s="199" t="s">
        <v>19</v>
      </c>
      <c r="F211" s="199">
        <v>22.571000000000002</v>
      </c>
      <c r="G211" s="199" t="s">
        <v>29</v>
      </c>
      <c r="H211" s="253" t="s">
        <v>29</v>
      </c>
    </row>
    <row r="212" spans="1:9">
      <c r="A212" s="198" t="s">
        <v>523</v>
      </c>
      <c r="B212" s="199" t="s">
        <v>525</v>
      </c>
      <c r="C212" s="199" t="s">
        <v>21</v>
      </c>
      <c r="D212" s="199" t="s">
        <v>39</v>
      </c>
      <c r="E212" s="199" t="s">
        <v>17</v>
      </c>
      <c r="F212" s="199">
        <v>19.395</v>
      </c>
      <c r="G212" s="199">
        <v>1.099614469</v>
      </c>
      <c r="H212" s="252">
        <v>0.307</v>
      </c>
      <c r="I212" s="72" t="s">
        <v>524</v>
      </c>
    </row>
    <row r="213" spans="1:9">
      <c r="A213" s="198" t="s">
        <v>29</v>
      </c>
      <c r="B213" s="199" t="s">
        <v>29</v>
      </c>
      <c r="C213" s="199" t="s">
        <v>29</v>
      </c>
      <c r="D213" s="199" t="s">
        <v>39</v>
      </c>
      <c r="E213" s="199" t="s">
        <v>19</v>
      </c>
      <c r="F213" s="199">
        <v>17.638000000000002</v>
      </c>
      <c r="G213" s="199" t="s">
        <v>29</v>
      </c>
      <c r="H213" s="253" t="s">
        <v>29</v>
      </c>
    </row>
    <row r="214" spans="1:9">
      <c r="A214" s="198" t="s">
        <v>523</v>
      </c>
      <c r="B214" s="199" t="s">
        <v>526</v>
      </c>
      <c r="C214" s="199" t="s">
        <v>21</v>
      </c>
      <c r="D214" s="199" t="s">
        <v>42</v>
      </c>
      <c r="E214" s="199" t="s">
        <v>17</v>
      </c>
      <c r="F214" s="199">
        <v>18.352</v>
      </c>
      <c r="G214" s="199">
        <v>1.041839341</v>
      </c>
      <c r="H214" s="252">
        <v>0.19600000000000001</v>
      </c>
      <c r="I214" s="72" t="s">
        <v>524</v>
      </c>
    </row>
    <row r="215" spans="1:9">
      <c r="A215" s="198" t="s">
        <v>29</v>
      </c>
      <c r="B215" s="199" t="s">
        <v>29</v>
      </c>
      <c r="C215" s="199" t="s">
        <v>29</v>
      </c>
      <c r="D215" s="199" t="s">
        <v>42</v>
      </c>
      <c r="E215" s="199" t="s">
        <v>19</v>
      </c>
      <c r="F215" s="199">
        <v>17.614999999999998</v>
      </c>
      <c r="G215" s="199" t="s">
        <v>29</v>
      </c>
      <c r="H215" s="253" t="s">
        <v>29</v>
      </c>
    </row>
    <row r="216" spans="1:9">
      <c r="A216" s="198" t="s">
        <v>523</v>
      </c>
      <c r="B216" s="199" t="s">
        <v>527</v>
      </c>
      <c r="C216" s="199" t="s">
        <v>21</v>
      </c>
      <c r="D216" s="199" t="s">
        <v>16</v>
      </c>
      <c r="E216" s="199" t="s">
        <v>17</v>
      </c>
      <c r="F216" s="199">
        <v>18.003</v>
      </c>
      <c r="G216" s="199">
        <v>0.89040011900000005</v>
      </c>
      <c r="H216" s="254">
        <v>-9.5000000000000001E-2</v>
      </c>
      <c r="I216" s="72" t="s">
        <v>524</v>
      </c>
    </row>
    <row r="217" spans="1:9">
      <c r="A217" s="198" t="s">
        <v>29</v>
      </c>
      <c r="B217" s="199" t="s">
        <v>29</v>
      </c>
      <c r="C217" s="199" t="s">
        <v>29</v>
      </c>
      <c r="D217" s="199" t="s">
        <v>16</v>
      </c>
      <c r="E217" s="199" t="s">
        <v>19</v>
      </c>
      <c r="F217" s="199">
        <v>20.219000000000001</v>
      </c>
      <c r="G217" s="199" t="s">
        <v>29</v>
      </c>
      <c r="H217" s="253" t="s">
        <v>29</v>
      </c>
    </row>
    <row r="218" spans="1:9">
      <c r="A218" s="198" t="s">
        <v>523</v>
      </c>
      <c r="B218" s="199" t="s">
        <v>528</v>
      </c>
      <c r="C218" s="199" t="s">
        <v>45</v>
      </c>
      <c r="D218" s="199" t="s">
        <v>22</v>
      </c>
      <c r="E218" s="199" t="s">
        <v>17</v>
      </c>
      <c r="F218" s="199">
        <v>19.533000000000001</v>
      </c>
      <c r="G218" s="199">
        <v>1.144087155</v>
      </c>
      <c r="H218" s="252">
        <v>0.39200000000000002</v>
      </c>
      <c r="I218" s="72" t="s">
        <v>524</v>
      </c>
    </row>
    <row r="219" spans="1:9">
      <c r="A219" s="198" t="s">
        <v>29</v>
      </c>
      <c r="B219" s="199" t="s">
        <v>29</v>
      </c>
      <c r="C219" s="199" t="s">
        <v>29</v>
      </c>
      <c r="D219" s="199" t="s">
        <v>22</v>
      </c>
      <c r="E219" s="199" t="s">
        <v>19</v>
      </c>
      <c r="F219" s="199">
        <v>17.073</v>
      </c>
      <c r="G219" s="199" t="s">
        <v>29</v>
      </c>
      <c r="H219" s="253" t="s">
        <v>29</v>
      </c>
    </row>
    <row r="220" spans="1:9">
      <c r="A220" s="198" t="s">
        <v>523</v>
      </c>
      <c r="B220" s="199" t="s">
        <v>529</v>
      </c>
      <c r="C220" s="199" t="s">
        <v>45</v>
      </c>
      <c r="D220" s="199" t="s">
        <v>335</v>
      </c>
      <c r="E220" s="199" t="s">
        <v>17</v>
      </c>
      <c r="F220" s="199">
        <v>17.963000000000001</v>
      </c>
      <c r="G220" s="199">
        <v>1.007628878</v>
      </c>
      <c r="H220" s="252">
        <v>0.13</v>
      </c>
      <c r="I220" s="72" t="s">
        <v>524</v>
      </c>
    </row>
    <row r="221" spans="1:9">
      <c r="A221" s="198" t="s">
        <v>29</v>
      </c>
      <c r="B221" s="199" t="s">
        <v>29</v>
      </c>
      <c r="C221" s="199" t="s">
        <v>29</v>
      </c>
      <c r="D221" s="199" t="s">
        <v>335</v>
      </c>
      <c r="E221" s="199" t="s">
        <v>19</v>
      </c>
      <c r="F221" s="199">
        <v>17.827000000000002</v>
      </c>
      <c r="G221" s="199" t="s">
        <v>29</v>
      </c>
      <c r="H221" s="253" t="s">
        <v>29</v>
      </c>
    </row>
    <row r="222" spans="1:9">
      <c r="A222" s="198" t="s">
        <v>523</v>
      </c>
      <c r="B222" s="199" t="s">
        <v>530</v>
      </c>
      <c r="C222" s="199" t="s">
        <v>45</v>
      </c>
      <c r="D222" s="199" t="s">
        <v>231</v>
      </c>
      <c r="E222" s="199" t="s">
        <v>17</v>
      </c>
      <c r="F222" s="199">
        <v>18.631</v>
      </c>
      <c r="G222" s="199">
        <v>1.012279272</v>
      </c>
      <c r="H222" s="252">
        <v>0.13900000000000001</v>
      </c>
      <c r="I222" s="72" t="s">
        <v>524</v>
      </c>
    </row>
    <row r="223" spans="1:9">
      <c r="A223" s="198" t="s">
        <v>29</v>
      </c>
      <c r="B223" s="199" t="s">
        <v>29</v>
      </c>
      <c r="C223" s="199" t="s">
        <v>29</v>
      </c>
      <c r="D223" s="199" t="s">
        <v>231</v>
      </c>
      <c r="E223" s="199" t="s">
        <v>19</v>
      </c>
      <c r="F223" s="199">
        <v>18.405000000000001</v>
      </c>
      <c r="G223" s="199" t="s">
        <v>29</v>
      </c>
      <c r="H223" s="253" t="s">
        <v>29</v>
      </c>
    </row>
    <row r="224" spans="1:9" s="126" customFormat="1"/>
    <row r="225" spans="1:14">
      <c r="A225" s="242" t="s">
        <v>531</v>
      </c>
      <c r="B225" s="243" t="s">
        <v>532</v>
      </c>
      <c r="C225" s="243" t="s">
        <v>15</v>
      </c>
      <c r="D225" s="243" t="s">
        <v>68</v>
      </c>
      <c r="E225" s="243" t="s">
        <v>17</v>
      </c>
      <c r="F225" s="243">
        <v>16.643999999999998</v>
      </c>
      <c r="G225" s="243">
        <v>0.79110223899999998</v>
      </c>
      <c r="H225" s="244">
        <v>-0.28599999999999998</v>
      </c>
      <c r="I225" s="72" t="s">
        <v>447</v>
      </c>
    </row>
    <row r="226" spans="1:14">
      <c r="A226" s="242" t="s">
        <v>29</v>
      </c>
      <c r="B226" s="243" t="s">
        <v>29</v>
      </c>
      <c r="C226" s="243" t="s">
        <v>29</v>
      </c>
      <c r="D226" s="243" t="s">
        <v>68</v>
      </c>
      <c r="E226" s="243" t="s">
        <v>19</v>
      </c>
      <c r="F226" s="243">
        <v>21.039000000000001</v>
      </c>
      <c r="G226" s="243" t="s">
        <v>29</v>
      </c>
      <c r="H226" s="245" t="s">
        <v>29</v>
      </c>
    </row>
    <row r="227" spans="1:14">
      <c r="A227" s="242" t="s">
        <v>531</v>
      </c>
      <c r="B227" s="243" t="s">
        <v>533</v>
      </c>
      <c r="C227" s="243" t="s">
        <v>21</v>
      </c>
      <c r="D227" s="243" t="s">
        <v>71</v>
      </c>
      <c r="E227" s="243" t="s">
        <v>17</v>
      </c>
      <c r="F227" s="243">
        <v>17.838999999999999</v>
      </c>
      <c r="G227" s="243">
        <v>0.75155881400000002</v>
      </c>
      <c r="H227" s="244">
        <v>-0.36199999999999999</v>
      </c>
      <c r="I227" s="72" t="s">
        <v>447</v>
      </c>
      <c r="K227" s="89" t="s">
        <v>534</v>
      </c>
      <c r="L227" s="223" t="s">
        <v>531</v>
      </c>
      <c r="M227" s="165">
        <v>44859</v>
      </c>
      <c r="N227" s="214" t="s">
        <v>24</v>
      </c>
    </row>
    <row r="228" spans="1:14">
      <c r="A228" s="242" t="s">
        <v>29</v>
      </c>
      <c r="B228" s="243" t="s">
        <v>29</v>
      </c>
      <c r="C228" s="243" t="s">
        <v>29</v>
      </c>
      <c r="D228" s="243" t="s">
        <v>71</v>
      </c>
      <c r="E228" s="243" t="s">
        <v>19</v>
      </c>
      <c r="F228" s="243">
        <v>23.736000000000001</v>
      </c>
      <c r="G228" s="243" t="s">
        <v>29</v>
      </c>
      <c r="H228" s="245" t="s">
        <v>29</v>
      </c>
    </row>
    <row r="229" spans="1:14">
      <c r="A229" s="242" t="s">
        <v>531</v>
      </c>
      <c r="B229" s="243" t="s">
        <v>535</v>
      </c>
      <c r="C229" s="243" t="s">
        <v>21</v>
      </c>
      <c r="D229" s="243" t="s">
        <v>74</v>
      </c>
      <c r="E229" s="243" t="s">
        <v>17</v>
      </c>
      <c r="F229" s="243">
        <v>18.405999999999999</v>
      </c>
      <c r="G229" s="243">
        <v>0.57882323300000005</v>
      </c>
      <c r="H229" s="244">
        <v>-0.69499999999999995</v>
      </c>
      <c r="I229" s="72" t="s">
        <v>447</v>
      </c>
    </row>
    <row r="230" spans="1:14">
      <c r="A230" s="242" t="s">
        <v>29</v>
      </c>
      <c r="B230" s="243" t="s">
        <v>29</v>
      </c>
      <c r="C230" s="243" t="s">
        <v>29</v>
      </c>
      <c r="D230" s="243" t="s">
        <v>74</v>
      </c>
      <c r="E230" s="243" t="s">
        <v>19</v>
      </c>
      <c r="F230" s="243">
        <v>31.798999999999999</v>
      </c>
      <c r="G230" s="243" t="s">
        <v>29</v>
      </c>
      <c r="H230" s="245" t="s">
        <v>29</v>
      </c>
    </row>
    <row r="231" spans="1:14">
      <c r="A231" s="242" t="s">
        <v>531</v>
      </c>
      <c r="B231" s="243" t="s">
        <v>536</v>
      </c>
      <c r="C231" s="243" t="s">
        <v>21</v>
      </c>
      <c r="D231" s="243" t="s">
        <v>81</v>
      </c>
      <c r="E231" s="243" t="s">
        <v>17</v>
      </c>
      <c r="F231" s="243">
        <v>18.056000000000001</v>
      </c>
      <c r="G231" s="243">
        <v>0.57160947200000001</v>
      </c>
      <c r="H231" s="244">
        <v>-0.70799999999999996</v>
      </c>
      <c r="I231" s="72" t="s">
        <v>447</v>
      </c>
    </row>
    <row r="232" spans="1:14">
      <c r="A232" s="242" t="s">
        <v>29</v>
      </c>
      <c r="B232" s="243" t="s">
        <v>29</v>
      </c>
      <c r="C232" s="243" t="s">
        <v>29</v>
      </c>
      <c r="D232" s="243" t="s">
        <v>81</v>
      </c>
      <c r="E232" s="243" t="s">
        <v>19</v>
      </c>
      <c r="F232" s="243">
        <v>31.588000000000001</v>
      </c>
      <c r="G232" s="243" t="s">
        <v>29</v>
      </c>
      <c r="H232" s="245" t="s">
        <v>29</v>
      </c>
    </row>
    <row r="233" spans="1:14">
      <c r="A233" s="242" t="s">
        <v>531</v>
      </c>
      <c r="B233" s="243" t="s">
        <v>537</v>
      </c>
      <c r="C233" s="243" t="s">
        <v>33</v>
      </c>
      <c r="D233" s="243" t="s">
        <v>83</v>
      </c>
      <c r="E233" s="243" t="s">
        <v>17</v>
      </c>
      <c r="F233" s="243">
        <v>18.195</v>
      </c>
      <c r="G233" s="243">
        <v>1.075545309</v>
      </c>
      <c r="H233" s="233">
        <v>0.26100000000000001</v>
      </c>
      <c r="I233" s="72" t="s">
        <v>447</v>
      </c>
    </row>
    <row r="234" spans="1:14">
      <c r="A234" s="242" t="s">
        <v>29</v>
      </c>
      <c r="B234" s="243" t="s">
        <v>29</v>
      </c>
      <c r="C234" s="243" t="s">
        <v>29</v>
      </c>
      <c r="D234" s="243" t="s">
        <v>83</v>
      </c>
      <c r="E234" s="243" t="s">
        <v>19</v>
      </c>
      <c r="F234" s="243">
        <v>16.917000000000002</v>
      </c>
      <c r="G234" s="243" t="s">
        <v>29</v>
      </c>
      <c r="H234" s="246" t="s">
        <v>29</v>
      </c>
    </row>
    <row r="235" spans="1:14">
      <c r="A235" s="242" t="s">
        <v>531</v>
      </c>
      <c r="B235" s="243" t="s">
        <v>538</v>
      </c>
      <c r="C235" s="243" t="s">
        <v>33</v>
      </c>
      <c r="D235" s="243" t="s">
        <v>27</v>
      </c>
      <c r="E235" s="243" t="s">
        <v>17</v>
      </c>
      <c r="F235" s="243">
        <v>15.932</v>
      </c>
      <c r="G235" s="243">
        <v>0.66697366800000002</v>
      </c>
      <c r="H235" s="244">
        <v>-0.52500000000000002</v>
      </c>
      <c r="I235" s="72" t="s">
        <v>447</v>
      </c>
    </row>
    <row r="236" spans="1:14">
      <c r="A236" s="242" t="s">
        <v>29</v>
      </c>
      <c r="B236" s="243" t="s">
        <v>29</v>
      </c>
      <c r="C236" s="243" t="s">
        <v>29</v>
      </c>
      <c r="D236" s="243" t="s">
        <v>27</v>
      </c>
      <c r="E236" s="243" t="s">
        <v>19</v>
      </c>
      <c r="F236" s="243">
        <v>23.887</v>
      </c>
      <c r="G236" s="243" t="s">
        <v>29</v>
      </c>
      <c r="H236" s="245" t="s">
        <v>29</v>
      </c>
    </row>
    <row r="237" spans="1:14">
      <c r="A237" s="242" t="s">
        <v>531</v>
      </c>
      <c r="B237" s="243" t="s">
        <v>539</v>
      </c>
      <c r="C237" s="243" t="s">
        <v>33</v>
      </c>
      <c r="D237" s="243" t="s">
        <v>31</v>
      </c>
      <c r="E237" s="243" t="s">
        <v>17</v>
      </c>
      <c r="F237" s="243">
        <v>16.012</v>
      </c>
      <c r="G237" s="243">
        <v>0.53877990499999995</v>
      </c>
      <c r="H237" s="244">
        <v>-0.77200000000000002</v>
      </c>
      <c r="I237" s="72" t="s">
        <v>447</v>
      </c>
    </row>
    <row r="238" spans="1:14">
      <c r="A238" s="242" t="s">
        <v>29</v>
      </c>
      <c r="B238" s="243" t="s">
        <v>29</v>
      </c>
      <c r="C238" s="243" t="s">
        <v>29</v>
      </c>
      <c r="D238" s="243" t="s">
        <v>31</v>
      </c>
      <c r="E238" s="243" t="s">
        <v>19</v>
      </c>
      <c r="F238" s="243">
        <v>29.719000000000001</v>
      </c>
      <c r="G238" s="243" t="s">
        <v>29</v>
      </c>
      <c r="H238" s="245" t="s">
        <v>29</v>
      </c>
    </row>
    <row r="239" spans="1:14" s="126" customFormat="1"/>
    <row r="240" spans="1:14">
      <c r="A240" s="198" t="s">
        <v>540</v>
      </c>
      <c r="B240" s="199" t="s">
        <v>363</v>
      </c>
      <c r="C240" s="199" t="s">
        <v>15</v>
      </c>
      <c r="D240" s="199" t="s">
        <v>52</v>
      </c>
      <c r="E240" s="199" t="s">
        <v>17</v>
      </c>
      <c r="F240" s="199">
        <v>34.834000000000003</v>
      </c>
      <c r="G240" s="199">
        <v>1.928579338</v>
      </c>
      <c r="H240" s="233">
        <v>1.901</v>
      </c>
      <c r="I240" s="72" t="s">
        <v>28</v>
      </c>
    </row>
    <row r="241" spans="1:14">
      <c r="A241" s="255" t="s">
        <v>29</v>
      </c>
      <c r="B241" s="256" t="s">
        <v>29</v>
      </c>
      <c r="C241" s="256" t="s">
        <v>29</v>
      </c>
      <c r="D241" s="256" t="s">
        <v>52</v>
      </c>
      <c r="E241" s="256" t="s">
        <v>19</v>
      </c>
      <c r="F241" s="256">
        <v>18.062000000000001</v>
      </c>
      <c r="G241" s="256" t="s">
        <v>29</v>
      </c>
      <c r="H241" s="256" t="s">
        <v>29</v>
      </c>
    </row>
    <row r="243" spans="1:14">
      <c r="A243" s="198" t="s">
        <v>541</v>
      </c>
      <c r="B243" s="199" t="s">
        <v>532</v>
      </c>
      <c r="C243" s="199" t="s">
        <v>38</v>
      </c>
      <c r="D243" s="199" t="s">
        <v>31</v>
      </c>
      <c r="E243" s="199" t="s">
        <v>17</v>
      </c>
      <c r="F243" s="199">
        <v>17.039000000000001</v>
      </c>
      <c r="G243" s="199">
        <v>0.806732636</v>
      </c>
      <c r="H243" s="254">
        <v>-0.25600000000000001</v>
      </c>
      <c r="I243" s="72" t="s">
        <v>524</v>
      </c>
    </row>
    <row r="244" spans="1:14">
      <c r="A244" s="198" t="s">
        <v>29</v>
      </c>
      <c r="B244" s="199" t="s">
        <v>29</v>
      </c>
      <c r="C244" s="199" t="s">
        <v>29</v>
      </c>
      <c r="D244" s="199" t="s">
        <v>31</v>
      </c>
      <c r="E244" s="199" t="s">
        <v>19</v>
      </c>
      <c r="F244" s="199">
        <v>21.120999999999999</v>
      </c>
      <c r="G244" s="199" t="s">
        <v>29</v>
      </c>
      <c r="H244" s="253" t="s">
        <v>29</v>
      </c>
    </row>
    <row r="245" spans="1:14">
      <c r="A245" s="198" t="s">
        <v>541</v>
      </c>
      <c r="B245" s="199" t="s">
        <v>542</v>
      </c>
      <c r="C245" s="199" t="s">
        <v>21</v>
      </c>
      <c r="D245" s="199" t="s">
        <v>34</v>
      </c>
      <c r="E245" s="199" t="s">
        <v>17</v>
      </c>
      <c r="F245" s="199">
        <v>16.913</v>
      </c>
      <c r="G245" s="199">
        <v>0.71559128400000005</v>
      </c>
      <c r="H245" s="254">
        <v>-0.432</v>
      </c>
      <c r="I245" s="72" t="s">
        <v>524</v>
      </c>
    </row>
    <row r="246" spans="1:14">
      <c r="A246" s="198" t="s">
        <v>29</v>
      </c>
      <c r="B246" s="199" t="s">
        <v>29</v>
      </c>
      <c r="C246" s="199" t="s">
        <v>29</v>
      </c>
      <c r="D246" s="199" t="s">
        <v>34</v>
      </c>
      <c r="E246" s="199" t="s">
        <v>19</v>
      </c>
      <c r="F246" s="199">
        <v>23.635000000000002</v>
      </c>
      <c r="G246" s="199" t="s">
        <v>29</v>
      </c>
      <c r="H246" s="253" t="s">
        <v>29</v>
      </c>
    </row>
    <row r="247" spans="1:14">
      <c r="A247" s="198" t="s">
        <v>541</v>
      </c>
      <c r="B247" s="199" t="s">
        <v>543</v>
      </c>
      <c r="C247" s="199" t="s">
        <v>21</v>
      </c>
      <c r="D247" s="199" t="s">
        <v>105</v>
      </c>
      <c r="E247" s="199" t="s">
        <v>17</v>
      </c>
      <c r="F247" s="199">
        <v>16.978999999999999</v>
      </c>
      <c r="G247" s="199">
        <v>0.75118347100000005</v>
      </c>
      <c r="H247" s="254">
        <v>-0.36299999999999999</v>
      </c>
      <c r="I247" s="72" t="s">
        <v>524</v>
      </c>
    </row>
    <row r="248" spans="1:14">
      <c r="A248" s="198" t="s">
        <v>29</v>
      </c>
      <c r="B248" s="199" t="s">
        <v>29</v>
      </c>
      <c r="C248" s="199" t="s">
        <v>29</v>
      </c>
      <c r="D248" s="199" t="s">
        <v>105</v>
      </c>
      <c r="E248" s="199" t="s">
        <v>19</v>
      </c>
      <c r="F248" s="199">
        <v>22.603000000000002</v>
      </c>
      <c r="G248" s="199" t="s">
        <v>29</v>
      </c>
      <c r="H248" s="253" t="s">
        <v>29</v>
      </c>
    </row>
    <row r="249" spans="1:14">
      <c r="A249" s="237" t="s">
        <v>541</v>
      </c>
      <c r="B249" s="238" t="s">
        <v>544</v>
      </c>
      <c r="C249" s="238" t="s">
        <v>21</v>
      </c>
      <c r="D249" s="238" t="s">
        <v>545</v>
      </c>
      <c r="E249" s="238" t="s">
        <v>17</v>
      </c>
      <c r="F249" s="238" t="s">
        <v>546</v>
      </c>
      <c r="G249" s="238" t="e">
        <v>#VALUE!</v>
      </c>
      <c r="H249" s="238" t="e">
        <v>#VALUE!</v>
      </c>
      <c r="I249" s="72" t="s">
        <v>524</v>
      </c>
    </row>
    <row r="250" spans="1:14">
      <c r="A250" s="237" t="s">
        <v>29</v>
      </c>
      <c r="B250" s="238" t="s">
        <v>29</v>
      </c>
      <c r="C250" s="238" t="s">
        <v>29</v>
      </c>
      <c r="D250" s="238" t="s">
        <v>545</v>
      </c>
      <c r="E250" s="238" t="s">
        <v>19</v>
      </c>
      <c r="F250" s="238" t="s">
        <v>546</v>
      </c>
      <c r="G250" s="238" t="s">
        <v>29</v>
      </c>
      <c r="H250" s="253" t="s">
        <v>29</v>
      </c>
    </row>
    <row r="253" spans="1:14" s="126" customFormat="1"/>
    <row r="254" spans="1:14">
      <c r="A254" s="198" t="s">
        <v>547</v>
      </c>
      <c r="B254" s="199" t="s">
        <v>456</v>
      </c>
      <c r="C254" s="199" t="s">
        <v>38</v>
      </c>
      <c r="D254" s="199" t="s">
        <v>182</v>
      </c>
      <c r="E254" s="199" t="s">
        <v>17</v>
      </c>
      <c r="F254" s="199">
        <v>16.359000000000002</v>
      </c>
      <c r="G254" s="199">
        <v>0.74467407100000005</v>
      </c>
      <c r="H254" s="254">
        <v>-0.376</v>
      </c>
      <c r="I254" s="72" t="s">
        <v>524</v>
      </c>
    </row>
    <row r="255" spans="1:14">
      <c r="A255" s="198" t="s">
        <v>29</v>
      </c>
      <c r="B255" s="199" t="s">
        <v>29</v>
      </c>
      <c r="C255" s="199" t="s">
        <v>29</v>
      </c>
      <c r="D255" s="199" t="s">
        <v>182</v>
      </c>
      <c r="E255" s="199" t="s">
        <v>19</v>
      </c>
      <c r="F255" s="199">
        <v>21.968</v>
      </c>
      <c r="G255" s="199" t="s">
        <v>29</v>
      </c>
      <c r="H255" s="253" t="s">
        <v>29</v>
      </c>
    </row>
    <row r="256" spans="1:14">
      <c r="A256" s="198" t="s">
        <v>547</v>
      </c>
      <c r="B256" s="199" t="s">
        <v>457</v>
      </c>
      <c r="C256" s="199" t="s">
        <v>21</v>
      </c>
      <c r="D256" s="199" t="s">
        <v>185</v>
      </c>
      <c r="E256" s="199" t="s">
        <v>17</v>
      </c>
      <c r="F256" s="199">
        <v>17.8</v>
      </c>
      <c r="G256" s="199">
        <v>0.899216974</v>
      </c>
      <c r="H256" s="254">
        <v>-7.8E-2</v>
      </c>
      <c r="I256" s="72" t="s">
        <v>524</v>
      </c>
      <c r="K256" s="89" t="s">
        <v>548</v>
      </c>
      <c r="L256" s="89" t="s">
        <v>547</v>
      </c>
      <c r="M256" s="165">
        <v>44893</v>
      </c>
      <c r="N256" s="181" t="s">
        <v>24</v>
      </c>
    </row>
    <row r="257" spans="1:14">
      <c r="A257" s="198" t="s">
        <v>29</v>
      </c>
      <c r="B257" s="199" t="s">
        <v>29</v>
      </c>
      <c r="C257" s="199" t="s">
        <v>29</v>
      </c>
      <c r="D257" s="199" t="s">
        <v>185</v>
      </c>
      <c r="E257" s="199" t="s">
        <v>19</v>
      </c>
      <c r="F257" s="199">
        <v>19.795000000000002</v>
      </c>
      <c r="G257" s="199" t="s">
        <v>29</v>
      </c>
      <c r="H257" s="253" t="s">
        <v>29</v>
      </c>
    </row>
    <row r="258" spans="1:14">
      <c r="A258" s="198" t="s">
        <v>547</v>
      </c>
      <c r="B258" s="199" t="s">
        <v>463</v>
      </c>
      <c r="C258" s="199" t="s">
        <v>45</v>
      </c>
      <c r="D258" s="199" t="s">
        <v>100</v>
      </c>
      <c r="E258" s="199" t="s">
        <v>17</v>
      </c>
      <c r="F258" s="199">
        <v>19.739999999999998</v>
      </c>
      <c r="G258" s="199">
        <v>1.0875433859999999</v>
      </c>
      <c r="H258" s="252">
        <v>0.28399999999999997</v>
      </c>
      <c r="I258" s="72" t="s">
        <v>524</v>
      </c>
    </row>
    <row r="259" spans="1:14">
      <c r="A259" s="198" t="s">
        <v>29</v>
      </c>
      <c r="B259" s="199" t="s">
        <v>29</v>
      </c>
      <c r="C259" s="199" t="s">
        <v>29</v>
      </c>
      <c r="D259" s="199" t="s">
        <v>100</v>
      </c>
      <c r="E259" s="199" t="s">
        <v>19</v>
      </c>
      <c r="F259" s="199">
        <v>18.151</v>
      </c>
      <c r="G259" s="199" t="s">
        <v>29</v>
      </c>
      <c r="H259" s="253" t="s">
        <v>29</v>
      </c>
    </row>
    <row r="260" spans="1:14">
      <c r="A260" s="198"/>
      <c r="B260" s="199"/>
      <c r="C260" s="199"/>
      <c r="D260" s="199"/>
      <c r="E260" s="199"/>
      <c r="F260" s="199"/>
      <c r="G260" s="199"/>
      <c r="H260" s="253"/>
    </row>
    <row r="261" spans="1:14">
      <c r="A261" s="198" t="s">
        <v>549</v>
      </c>
      <c r="B261" s="199" t="s">
        <v>456</v>
      </c>
      <c r="C261" s="199" t="s">
        <v>15</v>
      </c>
      <c r="D261" s="199" t="s">
        <v>31</v>
      </c>
      <c r="E261" s="199" t="s">
        <v>17</v>
      </c>
      <c r="F261" s="199">
        <v>16.481999999999999</v>
      </c>
      <c r="G261" s="199">
        <v>0.73913628399999998</v>
      </c>
      <c r="H261" s="231">
        <v>-0.38600000000000001</v>
      </c>
      <c r="I261" s="72" t="s">
        <v>60</v>
      </c>
    </row>
    <row r="262" spans="1:14">
      <c r="A262" s="198" t="s">
        <v>29</v>
      </c>
      <c r="B262" s="199" t="s">
        <v>29</v>
      </c>
      <c r="C262" s="199" t="s">
        <v>29</v>
      </c>
      <c r="D262" s="199" t="s">
        <v>31</v>
      </c>
      <c r="E262" s="199" t="s">
        <v>19</v>
      </c>
      <c r="F262" s="199">
        <v>22.298999999999999</v>
      </c>
      <c r="G262" s="199" t="s">
        <v>29</v>
      </c>
      <c r="H262" s="199" t="s">
        <v>29</v>
      </c>
    </row>
    <row r="263" spans="1:14">
      <c r="A263" s="198" t="s">
        <v>549</v>
      </c>
      <c r="B263" s="199" t="s">
        <v>457</v>
      </c>
      <c r="C263" s="199" t="s">
        <v>30</v>
      </c>
      <c r="D263" s="199" t="s">
        <v>34</v>
      </c>
      <c r="E263" s="199" t="s">
        <v>17</v>
      </c>
      <c r="F263" s="199">
        <v>17.306999999999999</v>
      </c>
      <c r="G263" s="199">
        <v>0.86491754099999996</v>
      </c>
      <c r="H263" s="231">
        <v>-0.14399999999999999</v>
      </c>
      <c r="I263" s="72" t="s">
        <v>60</v>
      </c>
      <c r="K263" s="89" t="s">
        <v>548</v>
      </c>
      <c r="L263" s="89" t="s">
        <v>549</v>
      </c>
      <c r="M263" s="165">
        <v>44907</v>
      </c>
      <c r="N263" s="181" t="s">
        <v>24</v>
      </c>
    </row>
    <row r="264" spans="1:14">
      <c r="A264" s="198" t="s">
        <v>29</v>
      </c>
      <c r="B264" s="199" t="s">
        <v>29</v>
      </c>
      <c r="C264" s="199" t="s">
        <v>29</v>
      </c>
      <c r="D264" s="199" t="s">
        <v>34</v>
      </c>
      <c r="E264" s="199" t="s">
        <v>19</v>
      </c>
      <c r="F264" s="199">
        <v>20.010000000000002</v>
      </c>
      <c r="G264" s="199" t="s">
        <v>29</v>
      </c>
      <c r="H264" s="199" t="s">
        <v>29</v>
      </c>
    </row>
    <row r="265" spans="1:14">
      <c r="A265" s="198" t="s">
        <v>549</v>
      </c>
      <c r="B265" s="199" t="s">
        <v>463</v>
      </c>
      <c r="C265" s="199" t="s">
        <v>33</v>
      </c>
      <c r="D265" s="199" t="s">
        <v>105</v>
      </c>
      <c r="E265" s="199" t="s">
        <v>17</v>
      </c>
      <c r="F265" s="199">
        <v>19.228000000000002</v>
      </c>
      <c r="G265" s="199">
        <v>1.1226062590000001</v>
      </c>
      <c r="H265" s="203">
        <v>0.35099999999999998</v>
      </c>
      <c r="I265" s="72" t="s">
        <v>60</v>
      </c>
    </row>
    <row r="266" spans="1:14">
      <c r="A266" s="198" t="s">
        <v>29</v>
      </c>
      <c r="B266" s="199" t="s">
        <v>29</v>
      </c>
      <c r="C266" s="199" t="s">
        <v>29</v>
      </c>
      <c r="D266" s="199" t="s">
        <v>105</v>
      </c>
      <c r="E266" s="199" t="s">
        <v>19</v>
      </c>
      <c r="F266" s="199">
        <v>17.128</v>
      </c>
      <c r="G266" s="199" t="s">
        <v>29</v>
      </c>
      <c r="H266" s="199" t="s">
        <v>29</v>
      </c>
    </row>
    <row r="267" spans="1:14" s="126" customFormat="1"/>
    <row r="268" spans="1:14">
      <c r="A268" s="198" t="s">
        <v>550</v>
      </c>
      <c r="B268" s="199" t="s">
        <v>378</v>
      </c>
      <c r="C268" s="199" t="s">
        <v>38</v>
      </c>
      <c r="D268" s="199" t="s">
        <v>81</v>
      </c>
      <c r="E268" s="199" t="s">
        <v>17</v>
      </c>
      <c r="F268" s="199">
        <v>17.331</v>
      </c>
      <c r="G268" s="199">
        <v>0.83242074899999996</v>
      </c>
      <c r="H268" s="254">
        <v>-0.20699999999999999</v>
      </c>
      <c r="I268" s="72" t="s">
        <v>524</v>
      </c>
    </row>
    <row r="269" spans="1:14">
      <c r="A269" s="198" t="s">
        <v>29</v>
      </c>
      <c r="B269" s="199" t="s">
        <v>29</v>
      </c>
      <c r="C269" s="199" t="s">
        <v>29</v>
      </c>
      <c r="D269" s="199" t="s">
        <v>81</v>
      </c>
      <c r="E269" s="199" t="s">
        <v>19</v>
      </c>
      <c r="F269" s="199">
        <v>20.82</v>
      </c>
      <c r="G269" s="199" t="s">
        <v>29</v>
      </c>
      <c r="H269" s="253" t="s">
        <v>29</v>
      </c>
    </row>
    <row r="270" spans="1:14">
      <c r="A270" s="198" t="s">
        <v>550</v>
      </c>
      <c r="B270" s="199" t="s">
        <v>551</v>
      </c>
      <c r="C270" s="199" t="s">
        <v>21</v>
      </c>
      <c r="D270" s="199" t="s">
        <v>83</v>
      </c>
      <c r="E270" s="199" t="s">
        <v>17</v>
      </c>
      <c r="F270" s="199">
        <v>17.314</v>
      </c>
      <c r="G270" s="199">
        <v>0.93741201900000004</v>
      </c>
      <c r="H270" s="254">
        <v>-5.0000000000000001E-3</v>
      </c>
      <c r="I270" s="72" t="s">
        <v>524</v>
      </c>
      <c r="K270" s="4" t="s">
        <v>552</v>
      </c>
      <c r="L270" s="221" t="s">
        <v>550</v>
      </c>
      <c r="M270" s="165">
        <v>44936</v>
      </c>
      <c r="N270" s="214" t="s">
        <v>24</v>
      </c>
    </row>
    <row r="271" spans="1:14">
      <c r="A271" s="198" t="s">
        <v>29</v>
      </c>
      <c r="B271" s="199" t="s">
        <v>29</v>
      </c>
      <c r="C271" s="199" t="s">
        <v>29</v>
      </c>
      <c r="D271" s="199" t="s">
        <v>83</v>
      </c>
      <c r="E271" s="199" t="s">
        <v>19</v>
      </c>
      <c r="F271" s="199">
        <v>18.47</v>
      </c>
      <c r="G271" s="199" t="s">
        <v>29</v>
      </c>
      <c r="H271" s="253" t="s">
        <v>29</v>
      </c>
    </row>
    <row r="272" spans="1:14">
      <c r="A272" s="198" t="s">
        <v>550</v>
      </c>
      <c r="B272" s="199" t="s">
        <v>518</v>
      </c>
      <c r="C272" s="199" t="s">
        <v>45</v>
      </c>
      <c r="D272" s="199" t="s">
        <v>27</v>
      </c>
      <c r="E272" s="199" t="s">
        <v>17</v>
      </c>
      <c r="F272" s="199">
        <v>16.626999999999999</v>
      </c>
      <c r="G272" s="199">
        <v>0.81119188200000003</v>
      </c>
      <c r="H272" s="254">
        <v>-0.248</v>
      </c>
      <c r="I272" s="72" t="s">
        <v>524</v>
      </c>
      <c r="K272" s="4" t="s">
        <v>553</v>
      </c>
      <c r="L272" s="221" t="s">
        <v>554</v>
      </c>
      <c r="M272" s="165">
        <v>44966</v>
      </c>
      <c r="N272" s="181" t="s">
        <v>24</v>
      </c>
    </row>
    <row r="273" spans="1:14">
      <c r="A273" s="198" t="s">
        <v>29</v>
      </c>
      <c r="B273" s="199" t="s">
        <v>29</v>
      </c>
      <c r="C273" s="199" t="s">
        <v>29</v>
      </c>
      <c r="D273" s="199" t="s">
        <v>27</v>
      </c>
      <c r="E273" s="199" t="s">
        <v>19</v>
      </c>
      <c r="F273" s="199">
        <v>20.497</v>
      </c>
      <c r="G273" s="199" t="s">
        <v>29</v>
      </c>
      <c r="H273" s="253" t="s">
        <v>29</v>
      </c>
    </row>
    <row r="274" spans="1:14" s="126" customFormat="1"/>
    <row r="275" spans="1:14">
      <c r="A275" s="198" t="s">
        <v>555</v>
      </c>
      <c r="B275" s="199" t="s">
        <v>556</v>
      </c>
      <c r="C275" s="199" t="s">
        <v>15</v>
      </c>
      <c r="D275" s="199" t="s">
        <v>81</v>
      </c>
      <c r="E275" s="199" t="s">
        <v>17</v>
      </c>
      <c r="F275" s="199">
        <v>18.885999999999999</v>
      </c>
      <c r="G275" s="199">
        <v>0.83341423599999997</v>
      </c>
      <c r="H275" s="231">
        <v>-0.20499999999999999</v>
      </c>
      <c r="I275" s="72" t="s">
        <v>60</v>
      </c>
    </row>
    <row r="276" spans="1:14">
      <c r="A276" s="198" t="s">
        <v>29</v>
      </c>
      <c r="B276" s="199" t="s">
        <v>29</v>
      </c>
      <c r="C276" s="199" t="s">
        <v>29</v>
      </c>
      <c r="D276" s="199" t="s">
        <v>81</v>
      </c>
      <c r="E276" s="199" t="s">
        <v>19</v>
      </c>
      <c r="F276" s="199">
        <v>22.661000000000001</v>
      </c>
      <c r="G276" s="199" t="s">
        <v>29</v>
      </c>
      <c r="H276" s="199" t="s">
        <v>29</v>
      </c>
    </row>
    <row r="277" spans="1:14">
      <c r="A277" s="198" t="s">
        <v>555</v>
      </c>
      <c r="B277" s="199" t="s">
        <v>557</v>
      </c>
      <c r="C277" s="199" t="s">
        <v>30</v>
      </c>
      <c r="D277" s="199" t="s">
        <v>83</v>
      </c>
      <c r="E277" s="199" t="s">
        <v>17</v>
      </c>
      <c r="F277" s="199">
        <v>17.099</v>
      </c>
      <c r="G277" s="199">
        <v>0.737693602</v>
      </c>
      <c r="H277" s="231">
        <v>-0.38900000000000001</v>
      </c>
      <c r="I277" s="72" t="s">
        <v>60</v>
      </c>
      <c r="K277" s="4" t="s">
        <v>558</v>
      </c>
      <c r="L277" s="221" t="s">
        <v>555</v>
      </c>
      <c r="M277" s="165">
        <v>44893</v>
      </c>
      <c r="N277" s="214" t="s">
        <v>24</v>
      </c>
    </row>
    <row r="278" spans="1:14">
      <c r="A278" s="198" t="s">
        <v>29</v>
      </c>
      <c r="B278" s="199" t="s">
        <v>29</v>
      </c>
      <c r="C278" s="199" t="s">
        <v>29</v>
      </c>
      <c r="D278" s="199" t="s">
        <v>83</v>
      </c>
      <c r="E278" s="199" t="s">
        <v>19</v>
      </c>
      <c r="F278" s="199">
        <v>23.178999999999998</v>
      </c>
      <c r="G278" s="199" t="s">
        <v>29</v>
      </c>
      <c r="H278" s="199" t="s">
        <v>29</v>
      </c>
    </row>
    <row r="279" spans="1:14">
      <c r="A279" s="198" t="s">
        <v>555</v>
      </c>
      <c r="B279" s="199" t="s">
        <v>559</v>
      </c>
      <c r="C279" s="199" t="s">
        <v>33</v>
      </c>
      <c r="D279" s="199" t="s">
        <v>27</v>
      </c>
      <c r="E279" s="199" t="s">
        <v>17</v>
      </c>
      <c r="F279" s="199">
        <v>17.501999999999999</v>
      </c>
      <c r="G279" s="199">
        <v>0.74227066500000005</v>
      </c>
      <c r="H279" s="231">
        <v>-0.38</v>
      </c>
      <c r="I279" s="72" t="s">
        <v>60</v>
      </c>
      <c r="K279" s="4" t="s">
        <v>560</v>
      </c>
      <c r="L279" s="221" t="s">
        <v>561</v>
      </c>
      <c r="M279" s="165">
        <v>44980</v>
      </c>
      <c r="N279" s="214" t="s">
        <v>24</v>
      </c>
    </row>
    <row r="280" spans="1:14">
      <c r="A280" s="198" t="s">
        <v>29</v>
      </c>
      <c r="B280" s="199" t="s">
        <v>29</v>
      </c>
      <c r="C280" s="199" t="s">
        <v>29</v>
      </c>
      <c r="D280" s="199" t="s">
        <v>27</v>
      </c>
      <c r="E280" s="199" t="s">
        <v>19</v>
      </c>
      <c r="F280" s="199">
        <v>23.579000000000001</v>
      </c>
      <c r="G280" s="199" t="s">
        <v>29</v>
      </c>
      <c r="H280" s="199" t="s">
        <v>29</v>
      </c>
    </row>
    <row r="282" spans="1:14">
      <c r="A282" s="303" t="s">
        <v>562</v>
      </c>
      <c r="B282" s="66" t="s">
        <v>405</v>
      </c>
      <c r="C282" s="66" t="s">
        <v>38</v>
      </c>
      <c r="D282" s="66" t="s">
        <v>34</v>
      </c>
      <c r="E282" s="66" t="s">
        <v>17</v>
      </c>
      <c r="F282" s="66">
        <v>16.646999999999998</v>
      </c>
      <c r="G282" s="66">
        <v>0.82517101199999998</v>
      </c>
      <c r="H282" s="247">
        <v>-0.221</v>
      </c>
      <c r="I282" s="72" t="s">
        <v>224</v>
      </c>
    </row>
    <row r="283" spans="1:14">
      <c r="A283" s="304" t="s">
        <v>29</v>
      </c>
      <c r="B283" s="65" t="s">
        <v>29</v>
      </c>
      <c r="C283" s="65" t="s">
        <v>29</v>
      </c>
      <c r="D283" s="65" t="s">
        <v>34</v>
      </c>
      <c r="E283" s="65" t="s">
        <v>19</v>
      </c>
      <c r="F283" s="65">
        <v>20.173999999999999</v>
      </c>
      <c r="G283" s="65" t="s">
        <v>29</v>
      </c>
      <c r="H283" s="65" t="s">
        <v>29</v>
      </c>
      <c r="I283" s="97"/>
    </row>
    <row r="284" spans="1:14">
      <c r="A284" s="304" t="s">
        <v>562</v>
      </c>
      <c r="B284" s="65" t="s">
        <v>563</v>
      </c>
      <c r="C284" s="65" t="s">
        <v>45</v>
      </c>
      <c r="D284" s="65" t="s">
        <v>105</v>
      </c>
      <c r="E284" s="65" t="s">
        <v>17</v>
      </c>
      <c r="F284" s="65">
        <v>16.309000000000001</v>
      </c>
      <c r="G284" s="65">
        <v>0.70638426899999995</v>
      </c>
      <c r="H284" s="247">
        <v>-0.44900000000000001</v>
      </c>
      <c r="I284" s="72" t="s">
        <v>224</v>
      </c>
    </row>
    <row r="285" spans="1:14">
      <c r="A285" s="304" t="s">
        <v>29</v>
      </c>
      <c r="B285" s="65" t="s">
        <v>29</v>
      </c>
      <c r="C285" s="65" t="s">
        <v>29</v>
      </c>
      <c r="D285" s="65" t="s">
        <v>105</v>
      </c>
      <c r="E285" s="65" t="s">
        <v>19</v>
      </c>
      <c r="F285" s="65">
        <v>23.088000000000001</v>
      </c>
      <c r="G285" s="65" t="s">
        <v>29</v>
      </c>
      <c r="H285" s="65" t="s">
        <v>29</v>
      </c>
      <c r="I285" s="97"/>
    </row>
    <row r="286" spans="1:14">
      <c r="A286" s="304" t="s">
        <v>562</v>
      </c>
      <c r="B286" s="65" t="s">
        <v>564</v>
      </c>
      <c r="C286" s="65" t="s">
        <v>45</v>
      </c>
      <c r="D286" s="65" t="s">
        <v>59</v>
      </c>
      <c r="E286" s="65" t="s">
        <v>17</v>
      </c>
      <c r="F286" s="65">
        <v>16.536999999999999</v>
      </c>
      <c r="G286" s="65">
        <v>0.75329112200000004</v>
      </c>
      <c r="H286" s="247">
        <v>-0.35899999999999999</v>
      </c>
      <c r="I286" s="72" t="s">
        <v>224</v>
      </c>
    </row>
    <row r="287" spans="1:14">
      <c r="A287" s="304" t="s">
        <v>29</v>
      </c>
      <c r="B287" s="65" t="s">
        <v>29</v>
      </c>
      <c r="C287" s="65" t="s">
        <v>29</v>
      </c>
      <c r="D287" s="65" t="s">
        <v>59</v>
      </c>
      <c r="E287" s="65" t="s">
        <v>19</v>
      </c>
      <c r="F287" s="65">
        <v>21.952999999999999</v>
      </c>
      <c r="G287" s="65" t="s">
        <v>29</v>
      </c>
      <c r="H287" s="65" t="s">
        <v>29</v>
      </c>
      <c r="I287" s="97"/>
    </row>
    <row r="288" spans="1:14">
      <c r="A288" s="304" t="s">
        <v>562</v>
      </c>
      <c r="B288" s="65" t="s">
        <v>565</v>
      </c>
      <c r="C288" s="65" t="s">
        <v>45</v>
      </c>
      <c r="D288" s="65" t="s">
        <v>49</v>
      </c>
      <c r="E288" s="65" t="s">
        <v>17</v>
      </c>
      <c r="F288" s="65">
        <v>15.369</v>
      </c>
      <c r="G288" s="65">
        <v>0.51420254899999995</v>
      </c>
      <c r="H288" s="247">
        <v>-0.81899999999999995</v>
      </c>
      <c r="I288" s="72" t="s">
        <v>224</v>
      </c>
    </row>
    <row r="289" spans="1:14">
      <c r="A289" s="304" t="s">
        <v>29</v>
      </c>
      <c r="B289" s="65" t="s">
        <v>29</v>
      </c>
      <c r="C289" s="65" t="s">
        <v>29</v>
      </c>
      <c r="D289" s="65" t="s">
        <v>49</v>
      </c>
      <c r="E289" s="65" t="s">
        <v>19</v>
      </c>
      <c r="F289" s="65">
        <v>29.888999999999999</v>
      </c>
      <c r="G289" s="65" t="s">
        <v>29</v>
      </c>
      <c r="H289" s="65" t="s">
        <v>29</v>
      </c>
      <c r="I289" s="97"/>
    </row>
    <row r="290" spans="1:14">
      <c r="A290" s="304" t="s">
        <v>562</v>
      </c>
      <c r="B290" s="65" t="s">
        <v>407</v>
      </c>
      <c r="C290" s="65" t="s">
        <v>226</v>
      </c>
      <c r="D290" s="65" t="s">
        <v>52</v>
      </c>
      <c r="E290" s="65" t="s">
        <v>17</v>
      </c>
      <c r="F290" s="65">
        <v>16.425999999999998</v>
      </c>
      <c r="G290" s="65">
        <v>0.49126689800000001</v>
      </c>
      <c r="H290" s="247">
        <v>-0.86299999999999999</v>
      </c>
      <c r="I290" s="72" t="s">
        <v>224</v>
      </c>
      <c r="K290" s="4" t="s">
        <v>566</v>
      </c>
      <c r="L290" s="221" t="s">
        <v>562</v>
      </c>
      <c r="M290" s="165">
        <v>44980</v>
      </c>
      <c r="N290" s="214" t="s">
        <v>24</v>
      </c>
    </row>
    <row r="291" spans="1:14">
      <c r="A291" s="304" t="s">
        <v>29</v>
      </c>
      <c r="B291" s="65" t="s">
        <v>29</v>
      </c>
      <c r="C291" s="65" t="s">
        <v>29</v>
      </c>
      <c r="D291" s="65" t="s">
        <v>52</v>
      </c>
      <c r="E291" s="65" t="s">
        <v>19</v>
      </c>
      <c r="F291" s="65">
        <v>33.436</v>
      </c>
      <c r="G291" s="65" t="s">
        <v>29</v>
      </c>
      <c r="H291" s="65" t="s">
        <v>29</v>
      </c>
      <c r="I291" s="97"/>
    </row>
    <row r="292" spans="1:14">
      <c r="A292" s="304" t="s">
        <v>562</v>
      </c>
      <c r="B292" s="65" t="s">
        <v>567</v>
      </c>
      <c r="C292" s="65" t="s">
        <v>45</v>
      </c>
      <c r="D292" s="65" t="s">
        <v>55</v>
      </c>
      <c r="E292" s="65" t="s">
        <v>17</v>
      </c>
      <c r="F292" s="305" t="s">
        <v>522</v>
      </c>
      <c r="G292" s="306" t="e">
        <v>#VALUE!</v>
      </c>
      <c r="H292" s="306" t="e">
        <v>#VALUE!</v>
      </c>
      <c r="I292" s="72" t="s">
        <v>224</v>
      </c>
    </row>
    <row r="293" spans="1:14">
      <c r="A293" s="304" t="s">
        <v>29</v>
      </c>
      <c r="B293" s="65" t="s">
        <v>29</v>
      </c>
      <c r="C293" s="65" t="s">
        <v>29</v>
      </c>
      <c r="D293" s="65" t="s">
        <v>55</v>
      </c>
      <c r="E293" s="65" t="s">
        <v>19</v>
      </c>
      <c r="F293" s="65">
        <v>37.664999999999999</v>
      </c>
      <c r="G293" s="65" t="s">
        <v>29</v>
      </c>
      <c r="H293" s="65" t="s">
        <v>29</v>
      </c>
      <c r="I293" s="97"/>
    </row>
    <row r="294" spans="1:14">
      <c r="A294" s="46" t="s">
        <v>562</v>
      </c>
      <c r="B294" s="4" t="s">
        <v>567</v>
      </c>
      <c r="C294" s="4" t="s">
        <v>45</v>
      </c>
      <c r="D294" s="4" t="s">
        <v>568</v>
      </c>
      <c r="E294" s="4" t="s">
        <v>17</v>
      </c>
      <c r="F294" s="4">
        <v>16.548999999999999</v>
      </c>
      <c r="G294" s="3">
        <f t="shared" ref="G294" si="7">F294/F295</f>
        <v>0.49989427578915574</v>
      </c>
      <c r="H294" s="189">
        <f t="shared" ref="H294" si="8">(G294-0.94)/0.52</f>
        <v>-0.84635716194393118</v>
      </c>
      <c r="I294" s="322" t="s">
        <v>203</v>
      </c>
      <c r="K294" s="4" t="s">
        <v>560</v>
      </c>
      <c r="L294" s="221" t="s">
        <v>562</v>
      </c>
      <c r="M294" s="165">
        <v>44980</v>
      </c>
      <c r="N294" s="214" t="s">
        <v>24</v>
      </c>
    </row>
    <row r="295" spans="1:14">
      <c r="A295" s="46" t="s">
        <v>569</v>
      </c>
      <c r="B295" s="4"/>
      <c r="C295" s="4"/>
      <c r="D295" s="4" t="s">
        <v>568</v>
      </c>
      <c r="E295" s="4" t="s">
        <v>19</v>
      </c>
      <c r="F295" s="4">
        <v>33.104999999999997</v>
      </c>
      <c r="G295" s="3"/>
      <c r="H295" s="189"/>
      <c r="I295" s="97"/>
    </row>
    <row r="296" spans="1:14">
      <c r="A296" s="3" t="s">
        <v>562</v>
      </c>
      <c r="B296" s="3" t="s">
        <v>570</v>
      </c>
      <c r="C296" s="3" t="s">
        <v>45</v>
      </c>
      <c r="D296" s="3" t="s">
        <v>74</v>
      </c>
      <c r="E296" s="3" t="s">
        <v>17</v>
      </c>
      <c r="F296" s="3">
        <v>17.321999999999999</v>
      </c>
      <c r="G296" s="3">
        <f t="shared" ref="G296" si="9">F296/F297</f>
        <v>0.47716379262850528</v>
      </c>
      <c r="H296" s="308">
        <f t="shared" ref="H296" si="10">(G296-0.94)/0.52</f>
        <v>-0.89006962956056668</v>
      </c>
      <c r="I296" s="322" t="s">
        <v>232</v>
      </c>
    </row>
    <row r="297" spans="1:14">
      <c r="A297" s="7"/>
      <c r="B297" s="7"/>
      <c r="C297" s="7"/>
      <c r="D297" s="3" t="s">
        <v>74</v>
      </c>
      <c r="E297" s="3" t="s">
        <v>19</v>
      </c>
      <c r="F297" s="3">
        <v>36.302</v>
      </c>
      <c r="G297" s="3"/>
      <c r="H297" s="308"/>
      <c r="I297" s="97"/>
    </row>
    <row r="298" spans="1:14" s="126" customFormat="1"/>
    <row r="299" spans="1:14">
      <c r="A299" s="198" t="s">
        <v>571</v>
      </c>
      <c r="B299" s="199" t="s">
        <v>572</v>
      </c>
      <c r="C299" s="199" t="s">
        <v>15</v>
      </c>
      <c r="D299" s="199" t="s">
        <v>68</v>
      </c>
      <c r="E299" s="199" t="s">
        <v>17</v>
      </c>
      <c r="F299" s="199">
        <v>17.739999999999998</v>
      </c>
      <c r="G299" s="199">
        <v>0.77521412300000003</v>
      </c>
      <c r="H299" s="231">
        <v>-0.317</v>
      </c>
      <c r="I299" s="72" t="s">
        <v>60</v>
      </c>
    </row>
    <row r="300" spans="1:14">
      <c r="A300" s="198" t="s">
        <v>29</v>
      </c>
      <c r="B300" s="199" t="s">
        <v>29</v>
      </c>
      <c r="C300" s="199" t="s">
        <v>29</v>
      </c>
      <c r="D300" s="199" t="s">
        <v>68</v>
      </c>
      <c r="E300" s="199" t="s">
        <v>19</v>
      </c>
      <c r="F300" s="199">
        <v>22.884</v>
      </c>
      <c r="G300" s="199" t="s">
        <v>29</v>
      </c>
      <c r="H300" s="199" t="s">
        <v>29</v>
      </c>
    </row>
    <row r="301" spans="1:14">
      <c r="A301" s="198" t="s">
        <v>571</v>
      </c>
      <c r="B301" s="199" t="s">
        <v>573</v>
      </c>
      <c r="C301" s="199" t="s">
        <v>30</v>
      </c>
      <c r="D301" s="199" t="s">
        <v>71</v>
      </c>
      <c r="E301" s="199" t="s">
        <v>17</v>
      </c>
      <c r="F301" s="199">
        <v>18.792000000000002</v>
      </c>
      <c r="G301" s="199">
        <v>1.0651853529999999</v>
      </c>
      <c r="H301" s="203">
        <v>0.24099999999999999</v>
      </c>
      <c r="I301" s="72" t="s">
        <v>60</v>
      </c>
    </row>
    <row r="302" spans="1:14">
      <c r="A302" s="198" t="s">
        <v>29</v>
      </c>
      <c r="B302" s="199" t="s">
        <v>29</v>
      </c>
      <c r="C302" s="199" t="s">
        <v>29</v>
      </c>
      <c r="D302" s="199" t="s">
        <v>71</v>
      </c>
      <c r="E302" s="199" t="s">
        <v>19</v>
      </c>
      <c r="F302" s="199">
        <v>17.641999999999999</v>
      </c>
      <c r="G302" s="199" t="s">
        <v>29</v>
      </c>
      <c r="H302" s="199" t="s">
        <v>29</v>
      </c>
    </row>
    <row r="303" spans="1:14">
      <c r="A303" s="198" t="s">
        <v>571</v>
      </c>
      <c r="B303" s="199" t="s">
        <v>574</v>
      </c>
      <c r="C303" s="199" t="s">
        <v>33</v>
      </c>
      <c r="D303" s="199" t="s">
        <v>74</v>
      </c>
      <c r="E303" s="199" t="s">
        <v>17</v>
      </c>
      <c r="F303" s="199">
        <v>23.029</v>
      </c>
      <c r="G303" s="199">
        <v>1.312792156</v>
      </c>
      <c r="H303" s="203">
        <v>0.71699999999999997</v>
      </c>
      <c r="I303" s="72" t="s">
        <v>60</v>
      </c>
    </row>
    <row r="304" spans="1:14">
      <c r="A304" s="198" t="s">
        <v>29</v>
      </c>
      <c r="B304" s="199" t="s">
        <v>29</v>
      </c>
      <c r="C304" s="199" t="s">
        <v>29</v>
      </c>
      <c r="D304" s="199" t="s">
        <v>74</v>
      </c>
      <c r="E304" s="199" t="s">
        <v>19</v>
      </c>
      <c r="F304" s="199">
        <v>17.542000000000002</v>
      </c>
      <c r="G304" s="199" t="s">
        <v>29</v>
      </c>
      <c r="H304" s="199" t="s">
        <v>29</v>
      </c>
    </row>
    <row r="306" spans="1:14">
      <c r="A306" s="68" t="s">
        <v>575</v>
      </c>
      <c r="B306" s="66" t="s">
        <v>572</v>
      </c>
      <c r="C306" s="66" t="s">
        <v>38</v>
      </c>
      <c r="D306" s="66" t="s">
        <v>335</v>
      </c>
      <c r="E306" s="66" t="s">
        <v>17</v>
      </c>
      <c r="F306" s="66">
        <v>17.084</v>
      </c>
      <c r="G306" s="66">
        <v>0.80471031599999998</v>
      </c>
      <c r="H306" s="247">
        <v>-0.26</v>
      </c>
      <c r="I306" s="72" t="s">
        <v>90</v>
      </c>
    </row>
    <row r="307" spans="1:14">
      <c r="A307" s="70" t="s">
        <v>29</v>
      </c>
      <c r="B307" s="65" t="s">
        <v>29</v>
      </c>
      <c r="C307" s="65" t="s">
        <v>29</v>
      </c>
      <c r="D307" s="65" t="s">
        <v>335</v>
      </c>
      <c r="E307" s="65" t="s">
        <v>19</v>
      </c>
      <c r="F307" s="65">
        <v>21.23</v>
      </c>
      <c r="G307" s="65" t="s">
        <v>29</v>
      </c>
      <c r="H307" s="65" t="s">
        <v>29</v>
      </c>
      <c r="K307" s="4" t="s">
        <v>576</v>
      </c>
      <c r="L307" s="221" t="s">
        <v>575</v>
      </c>
      <c r="M307" s="165">
        <v>44936</v>
      </c>
      <c r="N307" s="214" t="s">
        <v>24</v>
      </c>
    </row>
    <row r="308" spans="1:14">
      <c r="A308" s="70" t="s">
        <v>575</v>
      </c>
      <c r="B308" s="65" t="s">
        <v>577</v>
      </c>
      <c r="C308" s="65" t="s">
        <v>45</v>
      </c>
      <c r="D308" s="65" t="s">
        <v>231</v>
      </c>
      <c r="E308" s="65" t="s">
        <v>17</v>
      </c>
      <c r="F308" s="65">
        <v>17.756</v>
      </c>
      <c r="G308" s="65">
        <v>0.64036353099999999</v>
      </c>
      <c r="H308" s="247">
        <v>-0.57599999999999996</v>
      </c>
      <c r="I308" s="72" t="s">
        <v>90</v>
      </c>
    </row>
    <row r="309" spans="1:14">
      <c r="A309" s="70" t="s">
        <v>29</v>
      </c>
      <c r="B309" s="65" t="s">
        <v>578</v>
      </c>
      <c r="C309" s="65" t="s">
        <v>29</v>
      </c>
      <c r="D309" s="65" t="s">
        <v>231</v>
      </c>
      <c r="E309" s="65" t="s">
        <v>19</v>
      </c>
      <c r="F309" s="65">
        <v>27.728000000000002</v>
      </c>
      <c r="G309" s="65" t="s">
        <v>29</v>
      </c>
      <c r="H309" s="65" t="s">
        <v>29</v>
      </c>
    </row>
    <row r="310" spans="1:14">
      <c r="A310" s="70" t="s">
        <v>575</v>
      </c>
      <c r="B310" s="65" t="s">
        <v>579</v>
      </c>
      <c r="C310" s="65" t="s">
        <v>45</v>
      </c>
      <c r="D310" s="65" t="s">
        <v>180</v>
      </c>
      <c r="E310" s="65" t="s">
        <v>17</v>
      </c>
      <c r="F310" s="65">
        <v>21.326000000000001</v>
      </c>
      <c r="G310" s="65">
        <v>1.230724838</v>
      </c>
      <c r="H310" s="249">
        <v>0.55900000000000005</v>
      </c>
      <c r="I310" s="72" t="s">
        <v>90</v>
      </c>
    </row>
    <row r="311" spans="1:14">
      <c r="A311" s="70" t="s">
        <v>29</v>
      </c>
      <c r="B311" s="65" t="s">
        <v>578</v>
      </c>
      <c r="C311" s="65" t="s">
        <v>29</v>
      </c>
      <c r="D311" s="65" t="s">
        <v>180</v>
      </c>
      <c r="E311" s="65" t="s">
        <v>19</v>
      </c>
      <c r="F311" s="65">
        <v>17.327999999999999</v>
      </c>
      <c r="G311" s="65" t="s">
        <v>29</v>
      </c>
      <c r="H311" s="65" t="s">
        <v>29</v>
      </c>
    </row>
    <row r="312" spans="1:14">
      <c r="A312" s="70" t="s">
        <v>575</v>
      </c>
      <c r="B312" s="65" t="s">
        <v>580</v>
      </c>
      <c r="C312" s="65" t="s">
        <v>21</v>
      </c>
      <c r="D312" s="65" t="s">
        <v>281</v>
      </c>
      <c r="E312" s="65" t="s">
        <v>17</v>
      </c>
      <c r="F312" s="65">
        <v>20.105</v>
      </c>
      <c r="G312" s="65">
        <v>0.74482273200000004</v>
      </c>
      <c r="H312" s="247">
        <v>-0.375</v>
      </c>
      <c r="I312" s="72" t="s">
        <v>90</v>
      </c>
    </row>
    <row r="313" spans="1:14">
      <c r="A313" s="70" t="s">
        <v>29</v>
      </c>
      <c r="B313" s="65" t="s">
        <v>29</v>
      </c>
      <c r="C313" s="65" t="s">
        <v>29</v>
      </c>
      <c r="D313" s="65" t="s">
        <v>281</v>
      </c>
      <c r="E313" s="65" t="s">
        <v>19</v>
      </c>
      <c r="F313" s="65">
        <v>26.992999999999999</v>
      </c>
      <c r="G313" s="65" t="s">
        <v>29</v>
      </c>
      <c r="H313" s="65" t="s">
        <v>29</v>
      </c>
    </row>
    <row r="314" spans="1:14" s="126" customFormat="1"/>
    <row r="315" spans="1:14">
      <c r="A315" s="68" t="s">
        <v>581</v>
      </c>
      <c r="B315" s="66" t="s">
        <v>419</v>
      </c>
      <c r="C315" s="66" t="s">
        <v>38</v>
      </c>
      <c r="D315" s="66" t="s">
        <v>100</v>
      </c>
      <c r="E315" s="66" t="s">
        <v>17</v>
      </c>
      <c r="F315" s="66">
        <v>17.106999999999999</v>
      </c>
      <c r="G315" s="66">
        <v>0.73858043299999998</v>
      </c>
      <c r="H315" s="247">
        <v>-0.38700000000000001</v>
      </c>
      <c r="I315" s="72" t="s">
        <v>78</v>
      </c>
    </row>
    <row r="316" spans="1:14">
      <c r="A316" s="70" t="s">
        <v>29</v>
      </c>
      <c r="B316" s="65" t="s">
        <v>29</v>
      </c>
      <c r="C316" s="65" t="s">
        <v>29</v>
      </c>
      <c r="D316" s="65" t="s">
        <v>100</v>
      </c>
      <c r="E316" s="65" t="s">
        <v>19</v>
      </c>
      <c r="F316" s="65">
        <v>23.161999999999999</v>
      </c>
      <c r="G316" s="65" t="s">
        <v>29</v>
      </c>
      <c r="H316" s="65" t="s">
        <v>29</v>
      </c>
    </row>
    <row r="317" spans="1:14">
      <c r="A317" s="70" t="s">
        <v>581</v>
      </c>
      <c r="B317" s="65" t="s">
        <v>521</v>
      </c>
      <c r="C317" s="65" t="s">
        <v>21</v>
      </c>
      <c r="D317" s="65" t="s">
        <v>173</v>
      </c>
      <c r="E317" s="65" t="s">
        <v>17</v>
      </c>
      <c r="F317" s="65">
        <v>17.216000000000001</v>
      </c>
      <c r="G317" s="65">
        <v>0.76655238400000003</v>
      </c>
      <c r="H317" s="247">
        <v>-0.33400000000000002</v>
      </c>
      <c r="I317" s="72" t="s">
        <v>78</v>
      </c>
      <c r="K317" s="4" t="s">
        <v>582</v>
      </c>
      <c r="L317" s="295" t="s">
        <v>583</v>
      </c>
      <c r="M317" s="165">
        <v>44966</v>
      </c>
      <c r="N317" s="181" t="s">
        <v>24</v>
      </c>
    </row>
    <row r="318" spans="1:14">
      <c r="A318" s="70" t="s">
        <v>29</v>
      </c>
      <c r="B318" s="65" t="s">
        <v>29</v>
      </c>
      <c r="C318" s="65" t="s">
        <v>29</v>
      </c>
      <c r="D318" s="65" t="s">
        <v>173</v>
      </c>
      <c r="E318" s="65" t="s">
        <v>19</v>
      </c>
      <c r="F318" s="65">
        <v>22.459</v>
      </c>
      <c r="G318" s="65" t="s">
        <v>29</v>
      </c>
      <c r="H318" s="65" t="s">
        <v>29</v>
      </c>
    </row>
    <row r="319" spans="1:14">
      <c r="A319" s="68" t="s">
        <v>581</v>
      </c>
      <c r="B319" s="66" t="s">
        <v>422</v>
      </c>
      <c r="C319" s="66" t="s">
        <v>45</v>
      </c>
      <c r="D319" s="66" t="s">
        <v>242</v>
      </c>
      <c r="E319" s="66" t="s">
        <v>17</v>
      </c>
      <c r="F319" s="66">
        <v>18.324999999999999</v>
      </c>
      <c r="G319" s="66">
        <v>0.88535124200000004</v>
      </c>
      <c r="H319" s="247">
        <v>-0.105</v>
      </c>
      <c r="I319" s="72" t="s">
        <v>90</v>
      </c>
    </row>
    <row r="320" spans="1:14">
      <c r="A320" s="70" t="s">
        <v>29</v>
      </c>
      <c r="B320" s="65" t="s">
        <v>29</v>
      </c>
      <c r="C320" s="65" t="s">
        <v>29</v>
      </c>
      <c r="D320" s="65" t="s">
        <v>242</v>
      </c>
      <c r="E320" s="65" t="s">
        <v>19</v>
      </c>
      <c r="F320" s="65">
        <v>20.698</v>
      </c>
      <c r="G320" s="65" t="s">
        <v>29</v>
      </c>
      <c r="H320" s="65" t="s">
        <v>29</v>
      </c>
    </row>
    <row r="330" spans="1:14" s="126" customFormat="1"/>
    <row r="331" spans="1:14">
      <c r="A331" s="68" t="s">
        <v>584</v>
      </c>
      <c r="B331" s="66" t="s">
        <v>585</v>
      </c>
      <c r="C331" s="66" t="s">
        <v>38</v>
      </c>
      <c r="D331" s="66" t="s">
        <v>182</v>
      </c>
      <c r="E331" s="66" t="s">
        <v>17</v>
      </c>
      <c r="F331" s="66">
        <v>17.228000000000002</v>
      </c>
      <c r="G331" s="66">
        <v>0.79442958600000002</v>
      </c>
      <c r="H331" s="247">
        <v>-0.28000000000000003</v>
      </c>
      <c r="I331" s="72" t="s">
        <v>78</v>
      </c>
    </row>
    <row r="332" spans="1:14">
      <c r="A332" s="70" t="s">
        <v>29</v>
      </c>
      <c r="B332" s="65" t="s">
        <v>29</v>
      </c>
      <c r="C332" s="65" t="s">
        <v>29</v>
      </c>
      <c r="D332" s="65" t="s">
        <v>182</v>
      </c>
      <c r="E332" s="65" t="s">
        <v>19</v>
      </c>
      <c r="F332" s="65">
        <v>21.686</v>
      </c>
      <c r="G332" s="65" t="s">
        <v>29</v>
      </c>
      <c r="H332" s="65" t="s">
        <v>29</v>
      </c>
    </row>
    <row r="333" spans="1:14">
      <c r="A333" s="70" t="s">
        <v>584</v>
      </c>
      <c r="B333" s="65" t="s">
        <v>586</v>
      </c>
      <c r="C333" s="65" t="s">
        <v>21</v>
      </c>
      <c r="D333" s="65" t="s">
        <v>185</v>
      </c>
      <c r="E333" s="65" t="s">
        <v>17</v>
      </c>
      <c r="F333" s="65">
        <v>17.779</v>
      </c>
      <c r="G333" s="65">
        <v>0.677992602</v>
      </c>
      <c r="H333" s="247">
        <v>-0.504</v>
      </c>
      <c r="I333" s="72" t="s">
        <v>78</v>
      </c>
      <c r="K333" s="4" t="s">
        <v>587</v>
      </c>
      <c r="L333" s="221" t="s">
        <v>584</v>
      </c>
      <c r="M333" s="165">
        <v>44936</v>
      </c>
      <c r="N333" s="214" t="s">
        <v>24</v>
      </c>
    </row>
    <row r="334" spans="1:14">
      <c r="A334" s="70" t="s">
        <v>29</v>
      </c>
      <c r="B334" s="65" t="s">
        <v>29</v>
      </c>
      <c r="C334" s="65" t="s">
        <v>29</v>
      </c>
      <c r="D334" s="65" t="s">
        <v>185</v>
      </c>
      <c r="E334" s="65" t="s">
        <v>19</v>
      </c>
      <c r="F334" s="65">
        <v>26.222999999999999</v>
      </c>
      <c r="G334" s="65" t="s">
        <v>29</v>
      </c>
      <c r="H334" s="65" t="s">
        <v>29</v>
      </c>
    </row>
    <row r="337" spans="1:14">
      <c r="A337" s="68" t="s">
        <v>588</v>
      </c>
      <c r="B337" s="66" t="s">
        <v>585</v>
      </c>
      <c r="C337" s="66" t="s">
        <v>38</v>
      </c>
      <c r="D337" s="66" t="s">
        <v>100</v>
      </c>
      <c r="E337" s="66" t="s">
        <v>17</v>
      </c>
      <c r="F337" s="66">
        <v>18.942</v>
      </c>
      <c r="G337" s="66">
        <v>0.91233985200000001</v>
      </c>
      <c r="H337" s="276">
        <v>-5.2999999999999999E-2</v>
      </c>
      <c r="I337" s="72" t="s">
        <v>123</v>
      </c>
    </row>
    <row r="338" spans="1:14">
      <c r="A338" s="70" t="s">
        <v>29</v>
      </c>
      <c r="B338" s="65" t="s">
        <v>29</v>
      </c>
      <c r="C338" s="65" t="s">
        <v>29</v>
      </c>
      <c r="D338" s="65" t="s">
        <v>100</v>
      </c>
      <c r="E338" s="65" t="s">
        <v>19</v>
      </c>
      <c r="F338" s="65">
        <v>20.762</v>
      </c>
      <c r="G338" s="65" t="s">
        <v>29</v>
      </c>
      <c r="H338" s="65" t="s">
        <v>29</v>
      </c>
    </row>
    <row r="339" spans="1:14">
      <c r="A339" s="70" t="s">
        <v>588</v>
      </c>
      <c r="B339" s="65" t="s">
        <v>586</v>
      </c>
      <c r="C339" s="65" t="s">
        <v>21</v>
      </c>
      <c r="D339" s="65" t="s">
        <v>173</v>
      </c>
      <c r="E339" s="65" t="s">
        <v>17</v>
      </c>
      <c r="F339" s="65">
        <v>22.401</v>
      </c>
      <c r="G339" s="65">
        <v>1.2849767679999999</v>
      </c>
      <c r="H339" s="249">
        <v>0.66300000000000003</v>
      </c>
      <c r="I339" s="72" t="s">
        <v>123</v>
      </c>
      <c r="K339" s="4" t="s">
        <v>589</v>
      </c>
      <c r="L339" s="221" t="s">
        <v>588</v>
      </c>
      <c r="M339" s="165">
        <v>44950</v>
      </c>
      <c r="N339" s="214" t="s">
        <v>24</v>
      </c>
    </row>
    <row r="340" spans="1:14">
      <c r="A340" s="70" t="s">
        <v>29</v>
      </c>
      <c r="B340" s="65" t="s">
        <v>29</v>
      </c>
      <c r="C340" s="65" t="s">
        <v>29</v>
      </c>
      <c r="D340" s="65" t="s">
        <v>173</v>
      </c>
      <c r="E340" s="65" t="s">
        <v>19</v>
      </c>
      <c r="F340" s="65">
        <v>17.433</v>
      </c>
      <c r="G340" s="65" t="s">
        <v>29</v>
      </c>
      <c r="H340" s="65" t="s">
        <v>29</v>
      </c>
    </row>
    <row r="343" spans="1:14" s="126" customFormat="1"/>
    <row r="344" spans="1:14">
      <c r="A344" s="68" t="s">
        <v>590</v>
      </c>
      <c r="B344" s="66" t="s">
        <v>591</v>
      </c>
      <c r="C344" s="66" t="s">
        <v>38</v>
      </c>
      <c r="D344" s="66" t="s">
        <v>39</v>
      </c>
      <c r="E344" s="66" t="s">
        <v>17</v>
      </c>
      <c r="F344" s="66">
        <v>36.936</v>
      </c>
      <c r="G344" s="66">
        <v>1.1262005669999999</v>
      </c>
      <c r="H344" s="267">
        <v>0.35799999999999998</v>
      </c>
      <c r="I344" s="72" t="s">
        <v>78</v>
      </c>
    </row>
    <row r="345" spans="1:14">
      <c r="A345" s="70" t="s">
        <v>29</v>
      </c>
      <c r="B345" s="65" t="s">
        <v>29</v>
      </c>
      <c r="C345" s="65" t="s">
        <v>29</v>
      </c>
      <c r="D345" s="65" t="s">
        <v>39</v>
      </c>
      <c r="E345" s="65" t="s">
        <v>19</v>
      </c>
      <c r="F345" s="65">
        <v>32.796999999999997</v>
      </c>
      <c r="G345" s="65" t="s">
        <v>29</v>
      </c>
      <c r="H345" s="65" t="s">
        <v>29</v>
      </c>
    </row>
    <row r="346" spans="1:14">
      <c r="A346" s="70" t="s">
        <v>590</v>
      </c>
      <c r="B346" s="65" t="s">
        <v>592</v>
      </c>
      <c r="C346" s="65" t="s">
        <v>21</v>
      </c>
      <c r="D346" s="65" t="s">
        <v>42</v>
      </c>
      <c r="E346" s="65" t="s">
        <v>17</v>
      </c>
      <c r="F346" s="65">
        <v>18.338999999999999</v>
      </c>
      <c r="G346" s="65">
        <v>1.074907684</v>
      </c>
      <c r="H346" s="267">
        <v>0.25900000000000001</v>
      </c>
      <c r="I346" s="72" t="s">
        <v>78</v>
      </c>
      <c r="K346" s="221" t="s">
        <v>593</v>
      </c>
      <c r="L346" s="146" t="s">
        <v>594</v>
      </c>
      <c r="M346" s="165">
        <v>44980</v>
      </c>
      <c r="N346" s="214" t="s">
        <v>24</v>
      </c>
    </row>
    <row r="347" spans="1:14">
      <c r="A347" s="70" t="s">
        <v>29</v>
      </c>
      <c r="B347" s="65" t="s">
        <v>29</v>
      </c>
      <c r="C347" s="65" t="s">
        <v>29</v>
      </c>
      <c r="D347" s="65" t="s">
        <v>42</v>
      </c>
      <c r="E347" s="65" t="s">
        <v>19</v>
      </c>
      <c r="F347" s="65">
        <v>17.061</v>
      </c>
      <c r="G347" s="65" t="s">
        <v>29</v>
      </c>
      <c r="H347" s="65" t="s">
        <v>29</v>
      </c>
    </row>
    <row r="350" spans="1:14">
      <c r="A350" s="68" t="s">
        <v>595</v>
      </c>
      <c r="B350" s="66" t="s">
        <v>591</v>
      </c>
      <c r="C350" s="66" t="s">
        <v>15</v>
      </c>
      <c r="D350" s="66" t="s">
        <v>55</v>
      </c>
      <c r="E350" s="66" t="s">
        <v>17</v>
      </c>
      <c r="F350" s="66">
        <v>19.622</v>
      </c>
      <c r="G350" s="66">
        <v>0.93701351399999999</v>
      </c>
      <c r="H350" s="276">
        <v>-6.0000000000000001E-3</v>
      </c>
      <c r="I350" s="72" t="s">
        <v>123</v>
      </c>
    </row>
    <row r="351" spans="1:14">
      <c r="A351" s="70" t="s">
        <v>29</v>
      </c>
      <c r="B351" s="65" t="s">
        <v>29</v>
      </c>
      <c r="C351" s="65" t="s">
        <v>29</v>
      </c>
      <c r="D351" s="65" t="s">
        <v>55</v>
      </c>
      <c r="E351" s="65" t="s">
        <v>19</v>
      </c>
      <c r="F351" s="65">
        <v>20.940999999999999</v>
      </c>
      <c r="G351" s="65" t="s">
        <v>29</v>
      </c>
      <c r="H351" s="65" t="s">
        <v>29</v>
      </c>
    </row>
    <row r="352" spans="1:14">
      <c r="A352" s="70" t="s">
        <v>595</v>
      </c>
      <c r="B352" s="65" t="s">
        <v>596</v>
      </c>
      <c r="C352" s="65" t="s">
        <v>21</v>
      </c>
      <c r="D352" s="65" t="s">
        <v>182</v>
      </c>
      <c r="E352" s="65" t="s">
        <v>17</v>
      </c>
      <c r="F352" s="65">
        <v>19.492999999999999</v>
      </c>
      <c r="G352" s="65">
        <v>1.135426375</v>
      </c>
      <c r="H352" s="249">
        <v>0.376</v>
      </c>
      <c r="I352" s="72" t="s">
        <v>123</v>
      </c>
      <c r="K352" s="4" t="s">
        <v>597</v>
      </c>
      <c r="L352" s="221" t="s">
        <v>598</v>
      </c>
      <c r="M352" s="165">
        <v>44950</v>
      </c>
      <c r="N352" s="181" t="s">
        <v>24</v>
      </c>
    </row>
    <row r="353" spans="1:14">
      <c r="A353" s="70" t="s">
        <v>29</v>
      </c>
      <c r="B353" s="65" t="s">
        <v>29</v>
      </c>
      <c r="C353" s="65" t="s">
        <v>29</v>
      </c>
      <c r="D353" s="65" t="s">
        <v>182</v>
      </c>
      <c r="E353" s="65" t="s">
        <v>19</v>
      </c>
      <c r="F353" s="65">
        <v>17.167999999999999</v>
      </c>
      <c r="G353" s="65" t="s">
        <v>29</v>
      </c>
      <c r="H353" s="65" t="s">
        <v>29</v>
      </c>
    </row>
    <row r="356" spans="1:14" s="126" customFormat="1"/>
    <row r="357" spans="1:14">
      <c r="A357" s="68" t="s">
        <v>599</v>
      </c>
      <c r="B357" s="66" t="s">
        <v>600</v>
      </c>
      <c r="C357" s="66" t="s">
        <v>38</v>
      </c>
      <c r="D357" s="66" t="s">
        <v>55</v>
      </c>
      <c r="E357" s="66" t="s">
        <v>17</v>
      </c>
      <c r="F357" s="66">
        <v>17.945</v>
      </c>
      <c r="G357" s="66">
        <v>0.80887987400000005</v>
      </c>
      <c r="H357" s="247">
        <v>-0.252</v>
      </c>
      <c r="I357" s="72" t="s">
        <v>90</v>
      </c>
    </row>
    <row r="358" spans="1:14">
      <c r="A358" s="70" t="s">
        <v>29</v>
      </c>
      <c r="B358" s="65" t="s">
        <v>29</v>
      </c>
      <c r="C358" s="65" t="s">
        <v>29</v>
      </c>
      <c r="D358" s="65" t="s">
        <v>55</v>
      </c>
      <c r="E358" s="65" t="s">
        <v>19</v>
      </c>
      <c r="F358" s="65">
        <v>22.184999999999999</v>
      </c>
      <c r="G358" s="65" t="s">
        <v>29</v>
      </c>
      <c r="H358" s="65" t="s">
        <v>29</v>
      </c>
    </row>
    <row r="359" spans="1:14">
      <c r="A359" s="70" t="s">
        <v>599</v>
      </c>
      <c r="B359" s="65" t="s">
        <v>601</v>
      </c>
      <c r="C359" s="65" t="s">
        <v>45</v>
      </c>
      <c r="D359" s="65" t="s">
        <v>182</v>
      </c>
      <c r="E359" s="65" t="s">
        <v>17</v>
      </c>
      <c r="F359" s="65">
        <v>18.436</v>
      </c>
      <c r="G359" s="65">
        <v>0.63130500300000003</v>
      </c>
      <c r="H359" s="247">
        <v>-0.59399999999999997</v>
      </c>
      <c r="I359" s="72" t="s">
        <v>90</v>
      </c>
      <c r="K359" s="4" t="s">
        <v>602</v>
      </c>
      <c r="L359" s="221" t="s">
        <v>599</v>
      </c>
      <c r="M359" s="165">
        <v>44936</v>
      </c>
      <c r="N359" s="181" t="s">
        <v>24</v>
      </c>
    </row>
    <row r="360" spans="1:14">
      <c r="A360" s="70" t="s">
        <v>29</v>
      </c>
      <c r="B360" s="65" t="s">
        <v>603</v>
      </c>
      <c r="C360" s="65" t="s">
        <v>29</v>
      </c>
      <c r="D360" s="65" t="s">
        <v>182</v>
      </c>
      <c r="E360" s="65" t="s">
        <v>19</v>
      </c>
      <c r="F360" s="65">
        <v>29.202999999999999</v>
      </c>
      <c r="G360" s="65" t="s">
        <v>29</v>
      </c>
      <c r="H360" s="65" t="s">
        <v>29</v>
      </c>
    </row>
    <row r="361" spans="1:14">
      <c r="A361" s="70" t="s">
        <v>599</v>
      </c>
      <c r="B361" s="65" t="s">
        <v>604</v>
      </c>
      <c r="C361" s="65" t="s">
        <v>45</v>
      </c>
      <c r="D361" s="65" t="s">
        <v>185</v>
      </c>
      <c r="E361" s="65" t="s">
        <v>17</v>
      </c>
      <c r="F361" s="65">
        <v>20.545999999999999</v>
      </c>
      <c r="G361" s="65">
        <v>1.108497437</v>
      </c>
      <c r="H361" s="249">
        <v>0.32400000000000001</v>
      </c>
      <c r="I361" s="72" t="s">
        <v>90</v>
      </c>
    </row>
    <row r="362" spans="1:14">
      <c r="A362" s="70" t="s">
        <v>29</v>
      </c>
      <c r="B362" s="65" t="s">
        <v>603</v>
      </c>
      <c r="C362" s="65" t="s">
        <v>29</v>
      </c>
      <c r="D362" s="65" t="s">
        <v>185</v>
      </c>
      <c r="E362" s="65" t="s">
        <v>19</v>
      </c>
      <c r="F362" s="65">
        <v>18.535</v>
      </c>
      <c r="G362" s="65" t="s">
        <v>29</v>
      </c>
      <c r="H362" s="65" t="s">
        <v>29</v>
      </c>
    </row>
    <row r="363" spans="1:14">
      <c r="A363" s="70" t="s">
        <v>599</v>
      </c>
      <c r="B363" s="65" t="s">
        <v>605</v>
      </c>
      <c r="C363" s="65" t="s">
        <v>45</v>
      </c>
      <c r="D363" s="65" t="s">
        <v>100</v>
      </c>
      <c r="E363" s="65" t="s">
        <v>17</v>
      </c>
      <c r="F363" s="65">
        <v>19.962</v>
      </c>
      <c r="G363" s="65">
        <v>0.70656944600000005</v>
      </c>
      <c r="H363" s="247">
        <v>-0.44900000000000001</v>
      </c>
      <c r="I363" s="72" t="s">
        <v>90</v>
      </c>
    </row>
    <row r="364" spans="1:14">
      <c r="A364" s="70" t="s">
        <v>29</v>
      </c>
      <c r="B364" s="65" t="s">
        <v>578</v>
      </c>
      <c r="C364" s="65" t="s">
        <v>29</v>
      </c>
      <c r="D364" s="65" t="s">
        <v>100</v>
      </c>
      <c r="E364" s="65" t="s">
        <v>19</v>
      </c>
      <c r="F364" s="65">
        <v>28.251999999999999</v>
      </c>
      <c r="G364" s="65" t="s">
        <v>29</v>
      </c>
      <c r="H364" s="65" t="s">
        <v>29</v>
      </c>
    </row>
    <row r="365" spans="1:14">
      <c r="A365" s="70" t="s">
        <v>599</v>
      </c>
      <c r="B365" s="65" t="s">
        <v>606</v>
      </c>
      <c r="C365" s="65" t="s">
        <v>21</v>
      </c>
      <c r="D365" s="65" t="s">
        <v>173</v>
      </c>
      <c r="E365" s="65" t="s">
        <v>17</v>
      </c>
      <c r="F365" s="65">
        <v>20.103000000000002</v>
      </c>
      <c r="G365" s="65">
        <v>0.85515569199999997</v>
      </c>
      <c r="H365" s="247">
        <v>-0.16300000000000001</v>
      </c>
      <c r="I365" s="72" t="s">
        <v>90</v>
      </c>
    </row>
    <row r="366" spans="1:14">
      <c r="A366" s="70" t="s">
        <v>29</v>
      </c>
      <c r="B366" s="65" t="s">
        <v>29</v>
      </c>
      <c r="C366" s="65" t="s">
        <v>29</v>
      </c>
      <c r="D366" s="65" t="s">
        <v>173</v>
      </c>
      <c r="E366" s="65" t="s">
        <v>19</v>
      </c>
      <c r="F366" s="65">
        <v>23.507999999999999</v>
      </c>
      <c r="G366" s="65" t="s">
        <v>29</v>
      </c>
      <c r="H366" s="65" t="s">
        <v>29</v>
      </c>
    </row>
    <row r="367" spans="1:14">
      <c r="A367" s="4" t="s">
        <v>607</v>
      </c>
      <c r="B367" s="4" t="s">
        <v>608</v>
      </c>
      <c r="C367" s="4" t="s">
        <v>45</v>
      </c>
      <c r="D367" s="4" t="s">
        <v>182</v>
      </c>
      <c r="E367" s="4" t="s">
        <v>17</v>
      </c>
      <c r="F367" s="4">
        <v>38</v>
      </c>
      <c r="G367" s="3">
        <f t="shared" ref="G367" si="11">F367/F368</f>
        <v>1.2606157112526539</v>
      </c>
      <c r="H367" s="189">
        <f t="shared" ref="H367" si="12">(G367-0.94)/0.52</f>
        <v>0.61656867548587302</v>
      </c>
      <c r="I367" s="72" t="s">
        <v>203</v>
      </c>
    </row>
    <row r="368" spans="1:14">
      <c r="A368" s="4"/>
      <c r="B368" s="4"/>
      <c r="C368" s="4"/>
      <c r="D368" s="4" t="s">
        <v>182</v>
      </c>
      <c r="E368" s="4" t="s">
        <v>19</v>
      </c>
      <c r="F368" s="4">
        <v>30.143999999999998</v>
      </c>
      <c r="G368" s="3"/>
      <c r="H368" s="189"/>
    </row>
    <row r="369" spans="1:14">
      <c r="G369" s="182"/>
      <c r="H369" s="183"/>
    </row>
    <row r="370" spans="1:14">
      <c r="A370" s="3" t="s">
        <v>609</v>
      </c>
      <c r="B370" s="3" t="s">
        <v>600</v>
      </c>
      <c r="C370" s="3" t="s">
        <v>38</v>
      </c>
      <c r="D370" s="3" t="s">
        <v>34</v>
      </c>
      <c r="E370" s="3" t="s">
        <v>17</v>
      </c>
      <c r="F370" s="3">
        <v>17.724</v>
      </c>
      <c r="G370" s="3">
        <f t="shared" ref="G370:G376" si="13">F370/F371</f>
        <v>0.80629606041306523</v>
      </c>
      <c r="H370" s="308">
        <f t="shared" ref="H370:H376" si="14">(G370-0.94)/0.52</f>
        <v>-0.25712296074410523</v>
      </c>
      <c r="I370" s="72" t="s">
        <v>64</v>
      </c>
    </row>
    <row r="371" spans="1:14">
      <c r="A371" s="3"/>
      <c r="B371" s="3"/>
      <c r="C371" s="3"/>
      <c r="D371" s="3" t="s">
        <v>34</v>
      </c>
      <c r="E371" s="3" t="s">
        <v>19</v>
      </c>
      <c r="F371" s="3">
        <v>21.981999999999999</v>
      </c>
      <c r="G371" s="3"/>
      <c r="H371" s="308"/>
    </row>
    <row r="372" spans="1:14">
      <c r="A372" s="3" t="s">
        <v>609</v>
      </c>
      <c r="B372" s="3" t="s">
        <v>610</v>
      </c>
      <c r="C372" s="3" t="s">
        <v>45</v>
      </c>
      <c r="D372" s="3" t="s">
        <v>105</v>
      </c>
      <c r="E372" s="3" t="s">
        <v>17</v>
      </c>
      <c r="F372" s="3">
        <v>16.768999999999998</v>
      </c>
      <c r="G372" s="3">
        <f t="shared" si="13"/>
        <v>0.5848155123108042</v>
      </c>
      <c r="H372" s="308">
        <f t="shared" si="14"/>
        <v>-0.68304709170999178</v>
      </c>
      <c r="I372" s="72" t="s">
        <v>64</v>
      </c>
    </row>
    <row r="373" spans="1:14">
      <c r="A373" s="3"/>
      <c r="B373" s="3"/>
      <c r="C373" s="3"/>
      <c r="D373" s="3" t="s">
        <v>105</v>
      </c>
      <c r="E373" s="3" t="s">
        <v>19</v>
      </c>
      <c r="F373" s="3">
        <v>28.673999999999999</v>
      </c>
      <c r="G373" s="3"/>
      <c r="H373" s="308"/>
    </row>
    <row r="374" spans="1:14">
      <c r="A374" s="3" t="s">
        <v>609</v>
      </c>
      <c r="B374" s="3" t="s">
        <v>611</v>
      </c>
      <c r="C374" s="3" t="s">
        <v>21</v>
      </c>
      <c r="D374" s="3" t="s">
        <v>59</v>
      </c>
      <c r="E374" s="3" t="s">
        <v>17</v>
      </c>
      <c r="F374" s="3">
        <v>17.437999999999999</v>
      </c>
      <c r="G374" s="3">
        <f t="shared" si="13"/>
        <v>0.55962772785622594</v>
      </c>
      <c r="H374" s="308">
        <f t="shared" si="14"/>
        <v>-0.7314851387380269</v>
      </c>
      <c r="I374" s="72" t="s">
        <v>64</v>
      </c>
    </row>
    <row r="375" spans="1:14">
      <c r="A375" s="3"/>
      <c r="B375" s="3"/>
      <c r="C375" s="3"/>
      <c r="D375" s="3" t="s">
        <v>59</v>
      </c>
      <c r="E375" s="3" t="s">
        <v>19</v>
      </c>
      <c r="F375" s="3">
        <v>31.16</v>
      </c>
      <c r="G375" s="3"/>
      <c r="H375" s="308"/>
    </row>
    <row r="376" spans="1:14">
      <c r="A376" s="3" t="s">
        <v>609</v>
      </c>
      <c r="B376" s="3" t="s">
        <v>612</v>
      </c>
      <c r="C376" s="3" t="s">
        <v>45</v>
      </c>
      <c r="D376" s="3" t="s">
        <v>49</v>
      </c>
      <c r="E376" s="3" t="s">
        <v>17</v>
      </c>
      <c r="F376" s="3">
        <v>17.963000000000001</v>
      </c>
      <c r="G376" s="3">
        <f t="shared" si="13"/>
        <v>0.76295446822969759</v>
      </c>
      <c r="H376" s="308">
        <f t="shared" si="14"/>
        <v>-0.3404721764813507</v>
      </c>
      <c r="I376" s="72" t="s">
        <v>64</v>
      </c>
    </row>
    <row r="377" spans="1:14">
      <c r="A377" s="3"/>
      <c r="B377" s="3"/>
      <c r="C377" s="3"/>
      <c r="D377" s="3" t="s">
        <v>49</v>
      </c>
      <c r="E377" s="3" t="s">
        <v>19</v>
      </c>
      <c r="F377" s="3">
        <v>23.544</v>
      </c>
      <c r="G377" s="3"/>
      <c r="H377" s="308"/>
    </row>
    <row r="378" spans="1:14" s="126" customFormat="1"/>
    <row r="379" spans="1:14">
      <c r="A379" s="68" t="s">
        <v>613</v>
      </c>
      <c r="B379" s="66" t="s">
        <v>614</v>
      </c>
      <c r="C379" s="66" t="s">
        <v>38</v>
      </c>
      <c r="D379" s="66" t="s">
        <v>59</v>
      </c>
      <c r="E379" s="66" t="s">
        <v>17</v>
      </c>
      <c r="F379" s="66">
        <v>16.95</v>
      </c>
      <c r="G379" s="66">
        <v>0.85005014999999995</v>
      </c>
      <c r="H379" s="247">
        <v>-0.17299999999999999</v>
      </c>
      <c r="I379" s="72" t="s">
        <v>90</v>
      </c>
    </row>
    <row r="380" spans="1:14">
      <c r="A380" s="70" t="s">
        <v>29</v>
      </c>
      <c r="B380" s="65" t="s">
        <v>29</v>
      </c>
      <c r="C380" s="65" t="s">
        <v>29</v>
      </c>
      <c r="D380" s="65" t="s">
        <v>59</v>
      </c>
      <c r="E380" s="65" t="s">
        <v>19</v>
      </c>
      <c r="F380" s="65">
        <v>19.940000000000001</v>
      </c>
      <c r="G380" s="65" t="s">
        <v>29</v>
      </c>
      <c r="H380" s="65" t="s">
        <v>29</v>
      </c>
    </row>
    <row r="381" spans="1:14">
      <c r="A381" s="70" t="s">
        <v>613</v>
      </c>
      <c r="B381" s="65" t="s">
        <v>615</v>
      </c>
      <c r="C381" s="65" t="s">
        <v>21</v>
      </c>
      <c r="D381" s="65" t="s">
        <v>49</v>
      </c>
      <c r="E381" s="65" t="s">
        <v>17</v>
      </c>
      <c r="F381" s="65">
        <v>18.995999999999999</v>
      </c>
      <c r="G381" s="65">
        <v>1.1221644609999999</v>
      </c>
      <c r="H381" s="249">
        <v>0.35</v>
      </c>
      <c r="I381" s="72" t="s">
        <v>90</v>
      </c>
      <c r="K381" s="4" t="s">
        <v>616</v>
      </c>
      <c r="L381" s="4" t="s">
        <v>613</v>
      </c>
      <c r="M381" s="165">
        <v>44936</v>
      </c>
      <c r="N381" s="181" t="s">
        <v>24</v>
      </c>
    </row>
    <row r="382" spans="1:14">
      <c r="A382" s="70" t="s">
        <v>29</v>
      </c>
      <c r="B382" s="65" t="s">
        <v>29</v>
      </c>
      <c r="C382" s="65" t="s">
        <v>29</v>
      </c>
      <c r="D382" s="65" t="s">
        <v>49</v>
      </c>
      <c r="E382" s="65" t="s">
        <v>19</v>
      </c>
      <c r="F382" s="65">
        <v>16.928000000000001</v>
      </c>
      <c r="G382" s="65" t="s">
        <v>29</v>
      </c>
      <c r="H382" s="65" t="s">
        <v>29</v>
      </c>
    </row>
    <row r="383" spans="1:14">
      <c r="A383" s="70" t="s">
        <v>613</v>
      </c>
      <c r="B383" s="65" t="s">
        <v>617</v>
      </c>
      <c r="C383" s="65" t="s">
        <v>45</v>
      </c>
      <c r="D383" s="65" t="s">
        <v>52</v>
      </c>
      <c r="E383" s="65" t="s">
        <v>17</v>
      </c>
      <c r="F383" s="65">
        <v>25.02</v>
      </c>
      <c r="G383" s="65">
        <v>1.578449309</v>
      </c>
      <c r="H383" s="249">
        <v>1.228</v>
      </c>
      <c r="I383" s="72" t="s">
        <v>90</v>
      </c>
      <c r="K383" s="4" t="s">
        <v>618</v>
      </c>
      <c r="L383" s="89" t="s">
        <v>619</v>
      </c>
      <c r="M383" s="165">
        <v>44950</v>
      </c>
      <c r="N383" s="166" t="s">
        <v>297</v>
      </c>
    </row>
    <row r="384" spans="1:14">
      <c r="A384" s="70" t="s">
        <v>29</v>
      </c>
      <c r="B384" s="65" t="s">
        <v>29</v>
      </c>
      <c r="C384" s="65" t="s">
        <v>29</v>
      </c>
      <c r="D384" s="65" t="s">
        <v>52</v>
      </c>
      <c r="E384" s="65" t="s">
        <v>19</v>
      </c>
      <c r="F384" s="65">
        <v>15.851000000000001</v>
      </c>
      <c r="G384" s="65" t="s">
        <v>29</v>
      </c>
      <c r="H384" s="65" t="s">
        <v>29</v>
      </c>
    </row>
    <row r="391" spans="1:14" s="126" customFormat="1"/>
    <row r="392" spans="1:14">
      <c r="A392" s="68" t="s">
        <v>620</v>
      </c>
      <c r="B392" s="66" t="s">
        <v>378</v>
      </c>
      <c r="C392" s="66" t="s">
        <v>38</v>
      </c>
      <c r="D392" s="66" t="s">
        <v>31</v>
      </c>
      <c r="E392" s="66" t="s">
        <v>17</v>
      </c>
      <c r="F392" s="66">
        <v>16.294</v>
      </c>
      <c r="G392" s="66">
        <v>0.75327076900000001</v>
      </c>
      <c r="H392" s="247">
        <v>-0.35899999999999999</v>
      </c>
      <c r="I392" s="72" t="s">
        <v>90</v>
      </c>
    </row>
    <row r="393" spans="1:14">
      <c r="A393" s="70" t="s">
        <v>29</v>
      </c>
      <c r="B393" s="65" t="s">
        <v>29</v>
      </c>
      <c r="C393" s="65" t="s">
        <v>29</v>
      </c>
      <c r="D393" s="65" t="s">
        <v>31</v>
      </c>
      <c r="E393" s="65" t="s">
        <v>19</v>
      </c>
      <c r="F393" s="65">
        <v>21.631</v>
      </c>
      <c r="G393" s="65" t="s">
        <v>29</v>
      </c>
      <c r="H393" s="65" t="s">
        <v>29</v>
      </c>
    </row>
    <row r="394" spans="1:14">
      <c r="A394" s="70" t="s">
        <v>620</v>
      </c>
      <c r="B394" s="65" t="s">
        <v>621</v>
      </c>
      <c r="C394" s="65" t="s">
        <v>21</v>
      </c>
      <c r="D394" s="65" t="s">
        <v>34</v>
      </c>
      <c r="E394" s="65" t="s">
        <v>17</v>
      </c>
      <c r="F394" s="65">
        <v>17.475999999999999</v>
      </c>
      <c r="G394" s="65">
        <v>0.94215321600000002</v>
      </c>
      <c r="H394" s="249">
        <v>4.0000000000000001E-3</v>
      </c>
      <c r="I394" s="72" t="s">
        <v>90</v>
      </c>
      <c r="K394" s="89" t="s">
        <v>622</v>
      </c>
      <c r="L394" s="89" t="s">
        <v>623</v>
      </c>
      <c r="M394" s="165">
        <v>44950</v>
      </c>
      <c r="N394" s="181" t="s">
        <v>24</v>
      </c>
    </row>
    <row r="395" spans="1:14">
      <c r="A395" s="70" t="s">
        <v>29</v>
      </c>
      <c r="B395" s="65" t="s">
        <v>29</v>
      </c>
      <c r="C395" s="65" t="s">
        <v>29</v>
      </c>
      <c r="D395" s="65" t="s">
        <v>34</v>
      </c>
      <c r="E395" s="65" t="s">
        <v>19</v>
      </c>
      <c r="F395" s="65">
        <v>18.548999999999999</v>
      </c>
      <c r="G395" s="65" t="s">
        <v>29</v>
      </c>
      <c r="H395" s="65" t="s">
        <v>29</v>
      </c>
    </row>
    <row r="396" spans="1:14">
      <c r="A396" s="70" t="s">
        <v>620</v>
      </c>
      <c r="B396" s="65" t="s">
        <v>518</v>
      </c>
      <c r="C396" s="65" t="s">
        <v>45</v>
      </c>
      <c r="D396" s="65" t="s">
        <v>105</v>
      </c>
      <c r="E396" s="65" t="s">
        <v>17</v>
      </c>
      <c r="F396" s="65">
        <v>18.143999999999998</v>
      </c>
      <c r="G396" s="65">
        <v>0.98346793899999996</v>
      </c>
      <c r="H396" s="249">
        <v>8.4000000000000005E-2</v>
      </c>
      <c r="I396" s="72" t="s">
        <v>90</v>
      </c>
    </row>
    <row r="397" spans="1:14">
      <c r="A397" s="70" t="s">
        <v>29</v>
      </c>
      <c r="B397" s="65" t="s">
        <v>29</v>
      </c>
      <c r="C397" s="65" t="s">
        <v>29</v>
      </c>
      <c r="D397" s="65" t="s">
        <v>105</v>
      </c>
      <c r="E397" s="65" t="s">
        <v>19</v>
      </c>
      <c r="F397" s="65">
        <v>18.449000000000002</v>
      </c>
      <c r="G397" s="65" t="s">
        <v>29</v>
      </c>
      <c r="H397" s="65" t="s">
        <v>29</v>
      </c>
    </row>
    <row r="404" spans="1:14" s="126" customFormat="1"/>
    <row r="405" spans="1:14">
      <c r="A405" s="68" t="s">
        <v>624</v>
      </c>
      <c r="B405" s="66" t="s">
        <v>625</v>
      </c>
      <c r="C405" s="66" t="s">
        <v>38</v>
      </c>
      <c r="D405" s="66" t="s">
        <v>81</v>
      </c>
      <c r="E405" s="66" t="s">
        <v>17</v>
      </c>
      <c r="F405" s="66">
        <v>19.125</v>
      </c>
      <c r="G405" s="66">
        <v>0.84890585500000004</v>
      </c>
      <c r="H405" s="247">
        <v>-0.17499999999999999</v>
      </c>
      <c r="I405" s="72" t="s">
        <v>90</v>
      </c>
    </row>
    <row r="406" spans="1:14">
      <c r="A406" s="70" t="s">
        <v>29</v>
      </c>
      <c r="B406" s="65" t="s">
        <v>29</v>
      </c>
      <c r="C406" s="65" t="s">
        <v>29</v>
      </c>
      <c r="D406" s="65" t="s">
        <v>81</v>
      </c>
      <c r="E406" s="65" t="s">
        <v>19</v>
      </c>
      <c r="F406" s="65">
        <v>22.529</v>
      </c>
      <c r="G406" s="65" t="s">
        <v>29</v>
      </c>
      <c r="H406" s="65" t="s">
        <v>29</v>
      </c>
    </row>
    <row r="407" spans="1:14">
      <c r="A407" s="70" t="s">
        <v>624</v>
      </c>
      <c r="B407" s="65" t="s">
        <v>626</v>
      </c>
      <c r="C407" s="65" t="s">
        <v>21</v>
      </c>
      <c r="D407" s="65" t="s">
        <v>83</v>
      </c>
      <c r="E407" s="65" t="s">
        <v>17</v>
      </c>
      <c r="F407" s="65">
        <v>17.562999999999999</v>
      </c>
      <c r="G407" s="65">
        <v>0.89859299100000001</v>
      </c>
      <c r="H407" s="247">
        <v>-0.08</v>
      </c>
      <c r="I407" s="72" t="s">
        <v>90</v>
      </c>
      <c r="K407" s="146" t="s">
        <v>627</v>
      </c>
      <c r="L407" s="146" t="s">
        <v>628</v>
      </c>
      <c r="M407" s="165">
        <v>44980</v>
      </c>
      <c r="N407" s="317" t="s">
        <v>24</v>
      </c>
    </row>
    <row r="408" spans="1:14">
      <c r="A408" s="70" t="s">
        <v>29</v>
      </c>
      <c r="B408" s="65" t="s">
        <v>29</v>
      </c>
      <c r="C408" s="65" t="s">
        <v>29</v>
      </c>
      <c r="D408" s="65" t="s">
        <v>83</v>
      </c>
      <c r="E408" s="65" t="s">
        <v>19</v>
      </c>
      <c r="F408" s="65">
        <v>19.545000000000002</v>
      </c>
      <c r="G408" s="65" t="s">
        <v>29</v>
      </c>
      <c r="H408" s="65" t="s">
        <v>29</v>
      </c>
    </row>
    <row r="409" spans="1:14">
      <c r="A409" s="70" t="s">
        <v>624</v>
      </c>
      <c r="B409" s="65" t="s">
        <v>629</v>
      </c>
      <c r="C409" s="65" t="s">
        <v>45</v>
      </c>
      <c r="D409" s="65" t="s">
        <v>27</v>
      </c>
      <c r="E409" s="65" t="s">
        <v>17</v>
      </c>
      <c r="F409" s="65">
        <v>19.742999999999999</v>
      </c>
      <c r="G409" s="65">
        <v>1.220813752</v>
      </c>
      <c r="H409" s="249">
        <v>0.54</v>
      </c>
      <c r="I409" s="72" t="s">
        <v>90</v>
      </c>
    </row>
    <row r="410" spans="1:14">
      <c r="A410" s="70" t="s">
        <v>29</v>
      </c>
      <c r="B410" s="65" t="s">
        <v>29</v>
      </c>
      <c r="C410" s="65" t="s">
        <v>29</v>
      </c>
      <c r="D410" s="65" t="s">
        <v>27</v>
      </c>
      <c r="E410" s="65" t="s">
        <v>19</v>
      </c>
      <c r="F410" s="65">
        <v>16.172000000000001</v>
      </c>
      <c r="G410" s="65" t="s">
        <v>29</v>
      </c>
      <c r="H410" s="65" t="s">
        <v>29</v>
      </c>
    </row>
    <row r="412" spans="1:14">
      <c r="A412" s="303" t="s">
        <v>630</v>
      </c>
      <c r="B412" s="66" t="s">
        <v>625</v>
      </c>
      <c r="C412" s="66" t="s">
        <v>38</v>
      </c>
      <c r="D412" s="66" t="s">
        <v>22</v>
      </c>
      <c r="E412" s="66" t="s">
        <v>17</v>
      </c>
      <c r="F412" s="66">
        <v>16.227</v>
      </c>
      <c r="G412" s="66">
        <v>0.75713885800000003</v>
      </c>
      <c r="H412" s="247">
        <v>-0.35199999999999998</v>
      </c>
      <c r="I412" s="72" t="s">
        <v>224</v>
      </c>
    </row>
    <row r="413" spans="1:14">
      <c r="A413" s="304" t="s">
        <v>29</v>
      </c>
      <c r="B413" s="65" t="s">
        <v>29</v>
      </c>
      <c r="C413" s="65" t="s">
        <v>29</v>
      </c>
      <c r="D413" s="65" t="s">
        <v>22</v>
      </c>
      <c r="E413" s="65" t="s">
        <v>19</v>
      </c>
      <c r="F413" s="65">
        <v>21.431999999999999</v>
      </c>
      <c r="G413" s="65" t="s">
        <v>29</v>
      </c>
      <c r="H413" s="65" t="s">
        <v>29</v>
      </c>
      <c r="I413" s="97"/>
    </row>
    <row r="414" spans="1:14">
      <c r="A414" s="304" t="s">
        <v>630</v>
      </c>
      <c r="B414" s="65" t="s">
        <v>626</v>
      </c>
      <c r="C414" s="65" t="s">
        <v>226</v>
      </c>
      <c r="D414" s="65" t="s">
        <v>335</v>
      </c>
      <c r="E414" s="65" t="s">
        <v>17</v>
      </c>
      <c r="F414" s="65">
        <v>15.241</v>
      </c>
      <c r="G414" s="65">
        <v>0.70251209999999997</v>
      </c>
      <c r="H414" s="247">
        <v>-0.45700000000000002</v>
      </c>
      <c r="I414" s="72" t="s">
        <v>224</v>
      </c>
      <c r="K414" s="318" t="s">
        <v>627</v>
      </c>
      <c r="L414" s="146" t="s">
        <v>630</v>
      </c>
      <c r="M414" s="319">
        <v>44980</v>
      </c>
      <c r="N414" s="317" t="s">
        <v>24</v>
      </c>
    </row>
    <row r="415" spans="1:14">
      <c r="A415" s="304" t="s">
        <v>29</v>
      </c>
      <c r="B415" s="65" t="s">
        <v>29</v>
      </c>
      <c r="C415" s="65" t="s">
        <v>29</v>
      </c>
      <c r="D415" s="65" t="s">
        <v>335</v>
      </c>
      <c r="E415" s="65" t="s">
        <v>19</v>
      </c>
      <c r="F415" s="65">
        <v>21.695</v>
      </c>
      <c r="G415" s="65" t="s">
        <v>29</v>
      </c>
      <c r="H415" s="65" t="s">
        <v>29</v>
      </c>
      <c r="I415" s="97"/>
    </row>
    <row r="417" spans="1:14" s="126" customFormat="1"/>
    <row r="418" spans="1:14">
      <c r="A418" s="68" t="s">
        <v>631</v>
      </c>
      <c r="B418" s="66" t="s">
        <v>572</v>
      </c>
      <c r="C418" s="66" t="s">
        <v>38</v>
      </c>
      <c r="D418" s="66" t="s">
        <v>42</v>
      </c>
      <c r="E418" s="66" t="s">
        <v>17</v>
      </c>
      <c r="F418" s="66">
        <v>17.067</v>
      </c>
      <c r="G418" s="66">
        <v>0.76816095100000004</v>
      </c>
      <c r="H418" s="247">
        <v>-0.33</v>
      </c>
      <c r="I418" s="72" t="s">
        <v>90</v>
      </c>
    </row>
    <row r="419" spans="1:14">
      <c r="A419" s="70" t="s">
        <v>29</v>
      </c>
      <c r="B419" s="65" t="s">
        <v>29</v>
      </c>
      <c r="C419" s="65" t="s">
        <v>29</v>
      </c>
      <c r="D419" s="65" t="s">
        <v>42</v>
      </c>
      <c r="E419" s="65" t="s">
        <v>19</v>
      </c>
      <c r="F419" s="65">
        <v>22.218</v>
      </c>
      <c r="G419" s="65" t="s">
        <v>29</v>
      </c>
      <c r="H419" s="65" t="s">
        <v>29</v>
      </c>
    </row>
    <row r="420" spans="1:14">
      <c r="A420" s="70" t="s">
        <v>631</v>
      </c>
      <c r="B420" s="65" t="s">
        <v>573</v>
      </c>
      <c r="C420" s="65" t="s">
        <v>21</v>
      </c>
      <c r="D420" s="65" t="s">
        <v>16</v>
      </c>
      <c r="E420" s="65" t="s">
        <v>17</v>
      </c>
      <c r="F420" s="65">
        <v>18.100000000000001</v>
      </c>
      <c r="G420" s="65">
        <v>1.017482714</v>
      </c>
      <c r="H420" s="249">
        <v>0.14899999999999999</v>
      </c>
      <c r="I420" s="72" t="s">
        <v>90</v>
      </c>
      <c r="K420" s="4" t="s">
        <v>576</v>
      </c>
      <c r="L420" s="221" t="s">
        <v>632</v>
      </c>
      <c r="M420" s="165">
        <v>44936</v>
      </c>
      <c r="N420" s="181" t="s">
        <v>24</v>
      </c>
    </row>
    <row r="421" spans="1:14">
      <c r="A421" s="70" t="s">
        <v>29</v>
      </c>
      <c r="B421" s="65" t="s">
        <v>29</v>
      </c>
      <c r="C421" s="65" t="s">
        <v>29</v>
      </c>
      <c r="D421" s="65" t="s">
        <v>16</v>
      </c>
      <c r="E421" s="65" t="s">
        <v>19</v>
      </c>
      <c r="F421" s="65">
        <v>17.789000000000001</v>
      </c>
      <c r="G421" s="65" t="s">
        <v>29</v>
      </c>
      <c r="H421" s="65" t="s">
        <v>29</v>
      </c>
    </row>
    <row r="422" spans="1:14">
      <c r="A422" s="70" t="s">
        <v>631</v>
      </c>
      <c r="B422" s="65" t="s">
        <v>574</v>
      </c>
      <c r="C422" s="65" t="s">
        <v>45</v>
      </c>
      <c r="D422" s="65" t="s">
        <v>22</v>
      </c>
      <c r="E422" s="65" t="s">
        <v>17</v>
      </c>
      <c r="F422" s="65">
        <v>21.265999999999998</v>
      </c>
      <c r="G422" s="65">
        <v>1.2708258640000001</v>
      </c>
      <c r="H422" s="249">
        <v>0.63600000000000001</v>
      </c>
      <c r="I422" s="72" t="s">
        <v>90</v>
      </c>
    </row>
    <row r="423" spans="1:14">
      <c r="A423" s="70" t="s">
        <v>29</v>
      </c>
      <c r="B423" s="65" t="s">
        <v>29</v>
      </c>
      <c r="C423" s="65" t="s">
        <v>29</v>
      </c>
      <c r="D423" s="65" t="s">
        <v>22</v>
      </c>
      <c r="E423" s="65" t="s">
        <v>19</v>
      </c>
      <c r="F423" s="65">
        <v>16.734000000000002</v>
      </c>
      <c r="G423" s="65" t="s">
        <v>29</v>
      </c>
      <c r="H423" s="65" t="s">
        <v>29</v>
      </c>
    </row>
    <row r="424" spans="1:14">
      <c r="A424" s="3" t="s">
        <v>633</v>
      </c>
      <c r="B424" s="3" t="s">
        <v>572</v>
      </c>
      <c r="C424" s="3" t="s">
        <v>38</v>
      </c>
      <c r="D424" s="3" t="s">
        <v>81</v>
      </c>
      <c r="E424" s="3" t="s">
        <v>17</v>
      </c>
      <c r="F424" s="3">
        <v>16.581</v>
      </c>
      <c r="G424" s="3">
        <f t="shared" ref="G424:G430" si="15">F424/F425</f>
        <v>0.73719544727014041</v>
      </c>
      <c r="H424" s="308">
        <f t="shared" ref="H424:H430" si="16">(G424-0.94)/0.52</f>
        <v>-0.39000875524972983</v>
      </c>
      <c r="I424" s="72" t="s">
        <v>64</v>
      </c>
    </row>
    <row r="425" spans="1:14">
      <c r="A425" s="3"/>
      <c r="B425" s="3"/>
      <c r="C425" s="3"/>
      <c r="D425" s="3" t="s">
        <v>81</v>
      </c>
      <c r="E425" s="3" t="s">
        <v>19</v>
      </c>
      <c r="F425" s="3">
        <v>22.492000000000001</v>
      </c>
      <c r="G425" s="3"/>
      <c r="H425" s="308"/>
    </row>
    <row r="426" spans="1:14">
      <c r="A426" s="3" t="s">
        <v>633</v>
      </c>
      <c r="B426" s="3" t="s">
        <v>634</v>
      </c>
      <c r="C426" s="3" t="s">
        <v>45</v>
      </c>
      <c r="D426" s="3" t="s">
        <v>83</v>
      </c>
      <c r="E426" s="3" t="s">
        <v>17</v>
      </c>
      <c r="F426" s="3">
        <v>16.558</v>
      </c>
      <c r="G426" s="3">
        <f t="shared" si="15"/>
        <v>0.59294538943598929</v>
      </c>
      <c r="H426" s="308">
        <f t="shared" si="16"/>
        <v>-0.66741271262309743</v>
      </c>
      <c r="I426" s="72" t="s">
        <v>64</v>
      </c>
    </row>
    <row r="427" spans="1:14">
      <c r="A427" s="3"/>
      <c r="B427" s="3"/>
      <c r="C427" s="3"/>
      <c r="D427" s="3" t="s">
        <v>83</v>
      </c>
      <c r="E427" s="3" t="s">
        <v>19</v>
      </c>
      <c r="F427" s="3">
        <v>27.925000000000001</v>
      </c>
      <c r="G427" s="3"/>
      <c r="H427" s="308"/>
    </row>
    <row r="428" spans="1:14">
      <c r="A428" s="3" t="s">
        <v>633</v>
      </c>
      <c r="B428" s="3" t="s">
        <v>573</v>
      </c>
      <c r="C428" s="3" t="s">
        <v>21</v>
      </c>
      <c r="D428" s="3" t="s">
        <v>27</v>
      </c>
      <c r="E428" s="3" t="s">
        <v>17</v>
      </c>
      <c r="F428" s="3">
        <v>17.765000000000001</v>
      </c>
      <c r="G428" s="3">
        <f t="shared" si="15"/>
        <v>0.66567991906171542</v>
      </c>
      <c r="H428" s="308">
        <f t="shared" si="16"/>
        <v>-0.52753861718900874</v>
      </c>
      <c r="I428" s="72" t="s">
        <v>64</v>
      </c>
      <c r="K428" s="4" t="s">
        <v>576</v>
      </c>
      <c r="L428" s="221" t="s">
        <v>633</v>
      </c>
      <c r="M428" s="165">
        <v>44980</v>
      </c>
      <c r="N428" s="181" t="s">
        <v>24</v>
      </c>
    </row>
    <row r="429" spans="1:14">
      <c r="A429" s="3"/>
      <c r="B429" s="3"/>
      <c r="C429" s="3"/>
      <c r="D429" s="3" t="s">
        <v>27</v>
      </c>
      <c r="E429" s="3" t="s">
        <v>19</v>
      </c>
      <c r="F429" s="3">
        <v>26.687000000000001</v>
      </c>
      <c r="G429" s="3"/>
      <c r="H429" s="308"/>
    </row>
    <row r="430" spans="1:14">
      <c r="A430" s="3" t="s">
        <v>633</v>
      </c>
      <c r="B430" s="3" t="s">
        <v>574</v>
      </c>
      <c r="C430" s="3" t="s">
        <v>45</v>
      </c>
      <c r="D430" s="3" t="s">
        <v>31</v>
      </c>
      <c r="E430" s="3" t="s">
        <v>17</v>
      </c>
      <c r="F430" s="3" t="s">
        <v>522</v>
      </c>
      <c r="G430" s="323" t="e">
        <f t="shared" si="15"/>
        <v>#VALUE!</v>
      </c>
      <c r="H430" s="324" t="e">
        <f t="shared" si="16"/>
        <v>#VALUE!</v>
      </c>
      <c r="I430" s="72" t="s">
        <v>64</v>
      </c>
    </row>
    <row r="431" spans="1:14">
      <c r="A431" s="3"/>
      <c r="B431" s="3"/>
      <c r="C431" s="3"/>
      <c r="D431" s="3" t="s">
        <v>31</v>
      </c>
      <c r="E431" s="3" t="s">
        <v>19</v>
      </c>
      <c r="F431" s="3" t="s">
        <v>522</v>
      </c>
      <c r="G431" s="3"/>
      <c r="H431" s="308"/>
    </row>
    <row r="432" spans="1:14">
      <c r="A432" s="323" t="s">
        <v>633</v>
      </c>
      <c r="B432" s="323" t="s">
        <v>574</v>
      </c>
      <c r="C432" s="323" t="s">
        <v>45</v>
      </c>
      <c r="D432" s="323" t="s">
        <v>635</v>
      </c>
      <c r="E432" s="323" t="s">
        <v>17</v>
      </c>
      <c r="F432" s="323" t="s">
        <v>522</v>
      </c>
      <c r="G432" s="323" t="e">
        <f t="shared" ref="G432" si="17">F432/F433</f>
        <v>#VALUE!</v>
      </c>
      <c r="H432" s="324" t="e">
        <f t="shared" ref="H432" si="18">(G432-0.94)/0.52</f>
        <v>#VALUE!</v>
      </c>
      <c r="I432" s="72" t="s">
        <v>101</v>
      </c>
    </row>
    <row r="433" spans="1:14">
      <c r="A433" s="323"/>
      <c r="B433" s="323"/>
      <c r="C433" s="323"/>
      <c r="D433" s="323" t="s">
        <v>635</v>
      </c>
      <c r="E433" s="323" t="s">
        <v>19</v>
      </c>
      <c r="F433" s="323" t="s">
        <v>522</v>
      </c>
      <c r="G433" s="323"/>
      <c r="H433" s="324"/>
    </row>
    <row r="434" spans="1:14" s="126" customFormat="1"/>
    <row r="435" spans="1:14">
      <c r="A435" s="68" t="s">
        <v>636</v>
      </c>
      <c r="B435" s="66" t="s">
        <v>532</v>
      </c>
      <c r="C435" s="66" t="s">
        <v>38</v>
      </c>
      <c r="D435" s="66" t="s">
        <v>299</v>
      </c>
      <c r="E435" s="66" t="s">
        <v>17</v>
      </c>
      <c r="F435" s="66">
        <v>16.59</v>
      </c>
      <c r="G435" s="66">
        <v>0.80934725299999999</v>
      </c>
      <c r="H435" s="247">
        <v>-0.251</v>
      </c>
      <c r="I435" s="72" t="s">
        <v>90</v>
      </c>
    </row>
    <row r="436" spans="1:14">
      <c r="A436" s="70" t="s">
        <v>29</v>
      </c>
      <c r="B436" s="65" t="s">
        <v>29</v>
      </c>
      <c r="C436" s="65" t="s">
        <v>29</v>
      </c>
      <c r="D436" s="65" t="s">
        <v>299</v>
      </c>
      <c r="E436" s="65" t="s">
        <v>19</v>
      </c>
      <c r="F436" s="65">
        <v>20.498000000000001</v>
      </c>
      <c r="G436" s="65" t="s">
        <v>29</v>
      </c>
      <c r="H436" s="65" t="s">
        <v>29</v>
      </c>
    </row>
    <row r="437" spans="1:14">
      <c r="A437" s="70" t="s">
        <v>636</v>
      </c>
      <c r="B437" s="65" t="s">
        <v>533</v>
      </c>
      <c r="C437" s="65" t="s">
        <v>21</v>
      </c>
      <c r="D437" s="65" t="s">
        <v>303</v>
      </c>
      <c r="E437" s="65" t="s">
        <v>17</v>
      </c>
      <c r="F437" s="65">
        <v>16.321000000000002</v>
      </c>
      <c r="G437" s="65">
        <v>0.78146995500000005</v>
      </c>
      <c r="H437" s="247">
        <v>-0.30499999999999999</v>
      </c>
      <c r="I437" s="72" t="s">
        <v>90</v>
      </c>
      <c r="K437" s="4" t="s">
        <v>637</v>
      </c>
      <c r="L437" s="221" t="s">
        <v>638</v>
      </c>
      <c r="M437" s="165">
        <v>44936</v>
      </c>
      <c r="N437" s="181" t="s">
        <v>24</v>
      </c>
    </row>
    <row r="438" spans="1:14">
      <c r="A438" s="70" t="s">
        <v>29</v>
      </c>
      <c r="B438" s="65" t="s">
        <v>29</v>
      </c>
      <c r="C438" s="65" t="s">
        <v>29</v>
      </c>
      <c r="D438" s="65" t="s">
        <v>303</v>
      </c>
      <c r="E438" s="65" t="s">
        <v>19</v>
      </c>
      <c r="F438" s="65">
        <v>20.885000000000002</v>
      </c>
      <c r="G438" s="65" t="s">
        <v>29</v>
      </c>
      <c r="H438" s="65" t="s">
        <v>29</v>
      </c>
    </row>
    <row r="439" spans="1:14">
      <c r="A439" s="70" t="s">
        <v>636</v>
      </c>
      <c r="B439" s="65" t="s">
        <v>537</v>
      </c>
      <c r="C439" s="65" t="s">
        <v>45</v>
      </c>
      <c r="D439" s="65" t="s">
        <v>223</v>
      </c>
      <c r="E439" s="65" t="s">
        <v>17</v>
      </c>
      <c r="F439" s="65">
        <v>17.417000000000002</v>
      </c>
      <c r="G439" s="65">
        <v>0.940798358</v>
      </c>
      <c r="H439" s="249">
        <v>2E-3</v>
      </c>
      <c r="I439" s="72" t="s">
        <v>90</v>
      </c>
    </row>
    <row r="440" spans="1:14">
      <c r="A440" s="70" t="s">
        <v>29</v>
      </c>
      <c r="B440" s="65" t="s">
        <v>29</v>
      </c>
      <c r="C440" s="65" t="s">
        <v>29</v>
      </c>
      <c r="D440" s="65" t="s">
        <v>223</v>
      </c>
      <c r="E440" s="65" t="s">
        <v>19</v>
      </c>
      <c r="F440" s="65">
        <v>18.513000000000002</v>
      </c>
      <c r="G440" s="65" t="s">
        <v>29</v>
      </c>
      <c r="H440" s="65" t="s">
        <v>29</v>
      </c>
    </row>
    <row r="447" spans="1:14" s="126" customFormat="1"/>
    <row r="448" spans="1:14">
      <c r="A448" s="68" t="s">
        <v>639</v>
      </c>
      <c r="B448" s="66" t="s">
        <v>640</v>
      </c>
      <c r="C448" s="66" t="s">
        <v>15</v>
      </c>
      <c r="D448" s="66" t="s">
        <v>281</v>
      </c>
      <c r="E448" s="66" t="s">
        <v>17</v>
      </c>
      <c r="F448" s="66">
        <v>17.253</v>
      </c>
      <c r="G448" s="66">
        <v>0.78597786000000003</v>
      </c>
      <c r="H448" s="276">
        <v>-0.29599999999999999</v>
      </c>
      <c r="I448" s="72" t="s">
        <v>123</v>
      </c>
    </row>
    <row r="449" spans="1:14">
      <c r="A449" s="70" t="s">
        <v>29</v>
      </c>
      <c r="B449" s="65" t="s">
        <v>29</v>
      </c>
      <c r="C449" s="65" t="s">
        <v>29</v>
      </c>
      <c r="D449" s="65" t="s">
        <v>281</v>
      </c>
      <c r="E449" s="65" t="s">
        <v>19</v>
      </c>
      <c r="F449" s="65">
        <v>21.951000000000001</v>
      </c>
      <c r="G449" s="65" t="s">
        <v>29</v>
      </c>
      <c r="H449" s="65" t="s">
        <v>29</v>
      </c>
    </row>
    <row r="450" spans="1:14">
      <c r="A450" s="70" t="s">
        <v>639</v>
      </c>
      <c r="B450" s="65" t="s">
        <v>641</v>
      </c>
      <c r="C450" s="65" t="s">
        <v>45</v>
      </c>
      <c r="D450" s="65" t="s">
        <v>242</v>
      </c>
      <c r="E450" s="65" t="s">
        <v>17</v>
      </c>
      <c r="F450" s="65">
        <v>17.489000000000001</v>
      </c>
      <c r="G450" s="65">
        <v>0.81317710499999996</v>
      </c>
      <c r="H450" s="276">
        <v>-0.24399999999999999</v>
      </c>
      <c r="I450" s="72" t="s">
        <v>123</v>
      </c>
    </row>
    <row r="451" spans="1:14">
      <c r="A451" s="70" t="s">
        <v>29</v>
      </c>
      <c r="B451" s="65" t="s">
        <v>29</v>
      </c>
      <c r="C451" s="65" t="s">
        <v>29</v>
      </c>
      <c r="D451" s="65" t="s">
        <v>242</v>
      </c>
      <c r="E451" s="65" t="s">
        <v>19</v>
      </c>
      <c r="F451" s="65">
        <v>21.507000000000001</v>
      </c>
      <c r="G451" s="65" t="s">
        <v>29</v>
      </c>
      <c r="H451" s="65" t="s">
        <v>29</v>
      </c>
    </row>
    <row r="452" spans="1:14">
      <c r="A452" s="70" t="s">
        <v>639</v>
      </c>
      <c r="B452" s="65" t="s">
        <v>642</v>
      </c>
      <c r="C452" s="65" t="s">
        <v>45</v>
      </c>
      <c r="D452" s="65" t="s">
        <v>299</v>
      </c>
      <c r="E452" s="65" t="s">
        <v>17</v>
      </c>
      <c r="F452" s="65">
        <v>17.169</v>
      </c>
      <c r="G452" s="65">
        <v>0.573906939</v>
      </c>
      <c r="H452" s="276">
        <v>-0.70399999999999996</v>
      </c>
      <c r="I452" s="72" t="s">
        <v>123</v>
      </c>
    </row>
    <row r="453" spans="1:14">
      <c r="A453" s="70" t="s">
        <v>29</v>
      </c>
      <c r="B453" s="65" t="s">
        <v>29</v>
      </c>
      <c r="C453" s="65" t="s">
        <v>29</v>
      </c>
      <c r="D453" s="65" t="s">
        <v>299</v>
      </c>
      <c r="E453" s="65" t="s">
        <v>19</v>
      </c>
      <c r="F453" s="65">
        <v>29.916</v>
      </c>
      <c r="G453" s="65" t="s">
        <v>29</v>
      </c>
      <c r="H453" s="65" t="s">
        <v>29</v>
      </c>
    </row>
    <row r="454" spans="1:14">
      <c r="A454" s="70" t="s">
        <v>639</v>
      </c>
      <c r="B454" s="65" t="s">
        <v>643</v>
      </c>
      <c r="C454" s="65" t="s">
        <v>21</v>
      </c>
      <c r="D454" s="65" t="s">
        <v>303</v>
      </c>
      <c r="E454" s="65" t="s">
        <v>17</v>
      </c>
      <c r="F454" s="65">
        <v>17.361999999999998</v>
      </c>
      <c r="G454" s="65">
        <v>0.52892612299999997</v>
      </c>
      <c r="H454" s="276">
        <v>-0.79100000000000004</v>
      </c>
      <c r="I454" s="72" t="s">
        <v>123</v>
      </c>
      <c r="K454" s="165" t="s">
        <v>644</v>
      </c>
      <c r="L454" s="165" t="s">
        <v>639</v>
      </c>
      <c r="M454" s="165">
        <v>44950</v>
      </c>
      <c r="N454" s="181" t="s">
        <v>24</v>
      </c>
    </row>
    <row r="455" spans="1:14">
      <c r="A455" s="70" t="s">
        <v>29</v>
      </c>
      <c r="B455" s="65" t="s">
        <v>29</v>
      </c>
      <c r="C455" s="65" t="s">
        <v>29</v>
      </c>
      <c r="D455" s="65" t="s">
        <v>303</v>
      </c>
      <c r="E455" s="65" t="s">
        <v>19</v>
      </c>
      <c r="F455" s="65">
        <v>32.825000000000003</v>
      </c>
      <c r="G455" s="65" t="s">
        <v>29</v>
      </c>
      <c r="H455" s="65" t="s">
        <v>29</v>
      </c>
    </row>
    <row r="456" spans="1:14">
      <c r="A456" s="70" t="s">
        <v>639</v>
      </c>
      <c r="B456" s="65" t="s">
        <v>645</v>
      </c>
      <c r="C456" s="65" t="s">
        <v>45</v>
      </c>
      <c r="D456" s="65" t="s">
        <v>223</v>
      </c>
      <c r="E456" s="65" t="s">
        <v>17</v>
      </c>
      <c r="F456" s="65">
        <v>16.818999999999999</v>
      </c>
      <c r="G456" s="65">
        <v>0.675570373</v>
      </c>
      <c r="H456" s="276">
        <v>-0.50900000000000001</v>
      </c>
      <c r="I456" s="72" t="s">
        <v>123</v>
      </c>
    </row>
    <row r="457" spans="1:14">
      <c r="A457" s="70" t="s">
        <v>29</v>
      </c>
      <c r="B457" s="65" t="s">
        <v>29</v>
      </c>
      <c r="C457" s="65" t="s">
        <v>29</v>
      </c>
      <c r="D457" s="65" t="s">
        <v>223</v>
      </c>
      <c r="E457" s="65" t="s">
        <v>19</v>
      </c>
      <c r="F457" s="65">
        <v>24.896000000000001</v>
      </c>
      <c r="G457" s="65" t="s">
        <v>29</v>
      </c>
      <c r="H457" s="65" t="s">
        <v>29</v>
      </c>
    </row>
    <row r="459" spans="1:14">
      <c r="A459" s="3" t="s">
        <v>646</v>
      </c>
      <c r="B459" s="3" t="s">
        <v>640</v>
      </c>
      <c r="C459" s="3" t="s">
        <v>38</v>
      </c>
      <c r="D459" s="3" t="s">
        <v>52</v>
      </c>
      <c r="E459" s="3" t="s">
        <v>17</v>
      </c>
      <c r="F459" s="3">
        <v>18.128</v>
      </c>
      <c r="G459" s="3">
        <f t="shared" ref="G459:G463" si="19">F459/F460</f>
        <v>0.80990037081713806</v>
      </c>
      <c r="H459" s="308">
        <f t="shared" ref="H459:H463" si="20">(G459-0.94)/0.52</f>
        <v>-0.25019159458242668</v>
      </c>
      <c r="I459" s="72" t="s">
        <v>64</v>
      </c>
    </row>
    <row r="460" spans="1:14">
      <c r="A460" s="3"/>
      <c r="B460" s="3"/>
      <c r="C460" s="3"/>
      <c r="D460" s="3" t="s">
        <v>52</v>
      </c>
      <c r="E460" s="3" t="s">
        <v>19</v>
      </c>
      <c r="F460" s="3">
        <v>22.382999999999999</v>
      </c>
      <c r="G460" s="3"/>
      <c r="H460" s="308"/>
    </row>
    <row r="461" spans="1:14">
      <c r="A461" s="3" t="s">
        <v>646</v>
      </c>
      <c r="B461" s="3" t="s">
        <v>642</v>
      </c>
      <c r="C461" s="3" t="s">
        <v>45</v>
      </c>
      <c r="D461" s="3" t="s">
        <v>55</v>
      </c>
      <c r="E461" s="3" t="s">
        <v>17</v>
      </c>
      <c r="F461" s="3">
        <v>17.507999999999999</v>
      </c>
      <c r="G461" s="3">
        <f t="shared" si="19"/>
        <v>0.65742931170440455</v>
      </c>
      <c r="H461" s="308">
        <f t="shared" si="20"/>
        <v>-0.54340516979922193</v>
      </c>
      <c r="I461" s="72" t="s">
        <v>64</v>
      </c>
    </row>
    <row r="462" spans="1:14">
      <c r="A462" s="3"/>
      <c r="B462" s="3"/>
      <c r="C462" s="3"/>
      <c r="D462" s="3" t="s">
        <v>55</v>
      </c>
      <c r="E462" s="3" t="s">
        <v>19</v>
      </c>
      <c r="F462" s="3">
        <v>26.631</v>
      </c>
      <c r="G462" s="3"/>
      <c r="H462" s="308"/>
    </row>
    <row r="463" spans="1:14">
      <c r="A463" s="3" t="s">
        <v>646</v>
      </c>
      <c r="B463" s="3" t="s">
        <v>643</v>
      </c>
      <c r="C463" s="3" t="s">
        <v>21</v>
      </c>
      <c r="D463" s="3" t="s">
        <v>182</v>
      </c>
      <c r="E463" s="3" t="s">
        <v>17</v>
      </c>
      <c r="F463" s="3">
        <v>17.253</v>
      </c>
      <c r="G463" s="3">
        <f t="shared" si="19"/>
        <v>0.92738120834229198</v>
      </c>
      <c r="H463" s="308">
        <f t="shared" si="20"/>
        <v>-2.4266907034053771E-2</v>
      </c>
      <c r="I463" s="72" t="s">
        <v>64</v>
      </c>
      <c r="K463" s="165" t="s">
        <v>644</v>
      </c>
      <c r="L463" s="165" t="s">
        <v>646</v>
      </c>
      <c r="M463" s="165">
        <v>45020</v>
      </c>
      <c r="N463" s="181" t="s">
        <v>24</v>
      </c>
    </row>
    <row r="464" spans="1:14">
      <c r="A464" s="3"/>
      <c r="B464" s="3"/>
      <c r="C464" s="3"/>
      <c r="D464" s="3" t="s">
        <v>182</v>
      </c>
      <c r="E464" s="3" t="s">
        <v>19</v>
      </c>
      <c r="F464" s="3">
        <v>18.603999999999999</v>
      </c>
      <c r="G464" s="3"/>
      <c r="H464" s="308"/>
    </row>
    <row r="465" spans="1:14">
      <c r="A465" s="4" t="s">
        <v>646</v>
      </c>
      <c r="B465" s="4" t="s">
        <v>645</v>
      </c>
      <c r="C465" s="4" t="s">
        <v>45</v>
      </c>
      <c r="D465" s="4" t="s">
        <v>49</v>
      </c>
      <c r="E465" s="4" t="s">
        <v>17</v>
      </c>
      <c r="F465" s="4">
        <v>14.659000000000001</v>
      </c>
      <c r="G465" s="3">
        <f>F465/F466</f>
        <v>0.77560846560846575</v>
      </c>
      <c r="H465" s="189">
        <f>(G465-0.94)/0.52</f>
        <v>-0.31613756613756577</v>
      </c>
      <c r="I465" s="320" t="s">
        <v>203</v>
      </c>
    </row>
    <row r="466" spans="1:14">
      <c r="A466" s="4"/>
      <c r="B466" s="4"/>
      <c r="C466" s="4"/>
      <c r="D466" s="4" t="s">
        <v>49</v>
      </c>
      <c r="E466" s="4" t="s">
        <v>19</v>
      </c>
      <c r="F466" s="4">
        <v>18.899999999999999</v>
      </c>
      <c r="G466" s="3"/>
      <c r="H466" s="189"/>
    </row>
    <row r="467" spans="1:14" s="126" customFormat="1"/>
    <row r="468" spans="1:14">
      <c r="A468" s="68" t="s">
        <v>647</v>
      </c>
      <c r="B468" s="66" t="s">
        <v>442</v>
      </c>
      <c r="C468" s="66" t="s">
        <v>38</v>
      </c>
      <c r="D468" s="66" t="s">
        <v>42</v>
      </c>
      <c r="E468" s="66" t="s">
        <v>17</v>
      </c>
      <c r="F468" s="66">
        <v>17.785</v>
      </c>
      <c r="G468" s="66">
        <v>0.83784802400000002</v>
      </c>
      <c r="H468" s="276">
        <v>-0.19600000000000001</v>
      </c>
      <c r="I468" s="72" t="s">
        <v>123</v>
      </c>
    </row>
    <row r="469" spans="1:14">
      <c r="A469" s="70" t="s">
        <v>29</v>
      </c>
      <c r="B469" s="65" t="s">
        <v>29</v>
      </c>
      <c r="C469" s="65" t="s">
        <v>29</v>
      </c>
      <c r="D469" s="65" t="s">
        <v>42</v>
      </c>
      <c r="E469" s="65" t="s">
        <v>19</v>
      </c>
      <c r="F469" s="65">
        <v>21.227</v>
      </c>
      <c r="G469" s="65" t="s">
        <v>29</v>
      </c>
      <c r="H469" s="65" t="s">
        <v>29</v>
      </c>
    </row>
    <row r="470" spans="1:14">
      <c r="A470" s="70" t="s">
        <v>647</v>
      </c>
      <c r="B470" s="65" t="s">
        <v>648</v>
      </c>
      <c r="C470" s="65" t="s">
        <v>45</v>
      </c>
      <c r="D470" s="65" t="s">
        <v>16</v>
      </c>
      <c r="E470" s="65" t="s">
        <v>17</v>
      </c>
      <c r="F470" s="65">
        <v>17.978999999999999</v>
      </c>
      <c r="G470" s="65">
        <v>0.809390897</v>
      </c>
      <c r="H470" s="276">
        <v>-0.251</v>
      </c>
      <c r="I470" s="72" t="s">
        <v>123</v>
      </c>
    </row>
    <row r="471" spans="1:14">
      <c r="A471" s="70" t="s">
        <v>29</v>
      </c>
      <c r="B471" s="65" t="s">
        <v>29</v>
      </c>
      <c r="C471" s="65" t="s">
        <v>29</v>
      </c>
      <c r="D471" s="65" t="s">
        <v>16</v>
      </c>
      <c r="E471" s="65" t="s">
        <v>19</v>
      </c>
      <c r="F471" s="65">
        <v>22.213000000000001</v>
      </c>
      <c r="G471" s="65" t="s">
        <v>29</v>
      </c>
      <c r="H471" s="65" t="s">
        <v>29</v>
      </c>
    </row>
    <row r="472" spans="1:14">
      <c r="A472" s="70" t="s">
        <v>647</v>
      </c>
      <c r="B472" s="65" t="s">
        <v>649</v>
      </c>
      <c r="C472" s="65" t="s">
        <v>45</v>
      </c>
      <c r="D472" s="65" t="s">
        <v>22</v>
      </c>
      <c r="E472" s="65" t="s">
        <v>17</v>
      </c>
      <c r="F472" s="65">
        <v>17.63</v>
      </c>
      <c r="G472" s="65">
        <v>0.87611191200000005</v>
      </c>
      <c r="H472" s="276">
        <v>-0.123</v>
      </c>
      <c r="I472" s="72" t="s">
        <v>123</v>
      </c>
    </row>
    <row r="473" spans="1:14">
      <c r="A473" s="70" t="s">
        <v>29</v>
      </c>
      <c r="B473" s="65" t="s">
        <v>29</v>
      </c>
      <c r="C473" s="65" t="s">
        <v>29</v>
      </c>
      <c r="D473" s="65" t="s">
        <v>22</v>
      </c>
      <c r="E473" s="65" t="s">
        <v>19</v>
      </c>
      <c r="F473" s="65">
        <v>20.123000000000001</v>
      </c>
      <c r="G473" s="65" t="s">
        <v>29</v>
      </c>
      <c r="H473" s="65" t="s">
        <v>29</v>
      </c>
    </row>
    <row r="474" spans="1:14">
      <c r="A474" s="70" t="s">
        <v>647</v>
      </c>
      <c r="B474" s="65" t="s">
        <v>650</v>
      </c>
      <c r="C474" s="65" t="s">
        <v>45</v>
      </c>
      <c r="D474" s="65" t="s">
        <v>335</v>
      </c>
      <c r="E474" s="65" t="s">
        <v>17</v>
      </c>
      <c r="F474" s="65">
        <v>17.574999999999999</v>
      </c>
      <c r="G474" s="65">
        <v>0.61805457900000005</v>
      </c>
      <c r="H474" s="276">
        <v>-0.61899999999999999</v>
      </c>
      <c r="I474" s="72" t="s">
        <v>123</v>
      </c>
    </row>
    <row r="475" spans="1:14">
      <c r="A475" s="70" t="s">
        <v>29</v>
      </c>
      <c r="B475" s="65" t="s">
        <v>29</v>
      </c>
      <c r="C475" s="65" t="s">
        <v>29</v>
      </c>
      <c r="D475" s="65" t="s">
        <v>335</v>
      </c>
      <c r="E475" s="65" t="s">
        <v>19</v>
      </c>
      <c r="F475" s="65">
        <v>28.436</v>
      </c>
      <c r="G475" s="65" t="s">
        <v>29</v>
      </c>
      <c r="H475" s="65" t="s">
        <v>29</v>
      </c>
    </row>
    <row r="476" spans="1:14">
      <c r="A476" s="70" t="s">
        <v>647</v>
      </c>
      <c r="B476" s="65" t="s">
        <v>443</v>
      </c>
      <c r="C476" s="65" t="s">
        <v>21</v>
      </c>
      <c r="D476" s="65" t="s">
        <v>231</v>
      </c>
      <c r="E476" s="65" t="s">
        <v>17</v>
      </c>
      <c r="F476" s="65">
        <v>18.29</v>
      </c>
      <c r="G476" s="65">
        <v>0.58137317200000005</v>
      </c>
      <c r="H476" s="276">
        <v>-0.69</v>
      </c>
      <c r="I476" s="72" t="s">
        <v>123</v>
      </c>
      <c r="K476" s="165" t="s">
        <v>651</v>
      </c>
      <c r="L476" s="165" t="s">
        <v>647</v>
      </c>
      <c r="M476" s="165">
        <v>44950</v>
      </c>
      <c r="N476" s="181" t="s">
        <v>24</v>
      </c>
    </row>
    <row r="477" spans="1:14">
      <c r="A477" s="70" t="s">
        <v>29</v>
      </c>
      <c r="B477" s="65" t="s">
        <v>29</v>
      </c>
      <c r="C477" s="65" t="s">
        <v>29</v>
      </c>
      <c r="D477" s="65" t="s">
        <v>231</v>
      </c>
      <c r="E477" s="65" t="s">
        <v>19</v>
      </c>
      <c r="F477" s="65">
        <v>31.46</v>
      </c>
      <c r="G477" s="65" t="s">
        <v>29</v>
      </c>
      <c r="H477" s="65" t="s">
        <v>29</v>
      </c>
    </row>
    <row r="478" spans="1:14">
      <c r="A478" s="70" t="s">
        <v>647</v>
      </c>
      <c r="B478" s="65" t="s">
        <v>445</v>
      </c>
      <c r="C478" s="65" t="s">
        <v>45</v>
      </c>
      <c r="D478" s="65" t="s">
        <v>180</v>
      </c>
      <c r="E478" s="65" t="s">
        <v>17</v>
      </c>
      <c r="F478" s="65">
        <v>19.111999999999998</v>
      </c>
      <c r="G478" s="65">
        <v>0.73541634600000005</v>
      </c>
      <c r="H478" s="276">
        <v>-0.39300000000000002</v>
      </c>
      <c r="I478" s="72" t="s">
        <v>123</v>
      </c>
      <c r="K478" s="165" t="s">
        <v>652</v>
      </c>
      <c r="L478" s="221" t="s">
        <v>653</v>
      </c>
      <c r="M478" s="165">
        <v>44966</v>
      </c>
      <c r="N478" s="214" t="s">
        <v>24</v>
      </c>
    </row>
    <row r="479" spans="1:14">
      <c r="A479" s="70" t="s">
        <v>29</v>
      </c>
      <c r="B479" s="65" t="s">
        <v>29</v>
      </c>
      <c r="C479" s="65" t="s">
        <v>29</v>
      </c>
      <c r="D479" s="65" t="s">
        <v>180</v>
      </c>
      <c r="E479" s="65" t="s">
        <v>19</v>
      </c>
      <c r="F479" s="65">
        <v>25.988</v>
      </c>
      <c r="G479" s="65" t="s">
        <v>29</v>
      </c>
      <c r="H479" s="65" t="s">
        <v>29</v>
      </c>
    </row>
    <row r="480" spans="1:14">
      <c r="A480" s="4" t="s">
        <v>647</v>
      </c>
      <c r="B480" s="4" t="s">
        <v>654</v>
      </c>
      <c r="C480" s="4" t="s">
        <v>45</v>
      </c>
      <c r="D480" s="7" t="s">
        <v>185</v>
      </c>
      <c r="E480" s="7" t="s">
        <v>17</v>
      </c>
      <c r="F480" s="7">
        <v>14.895</v>
      </c>
      <c r="G480" s="3">
        <f t="shared" ref="G480" si="21">F480/F481</f>
        <v>0.44087612845937552</v>
      </c>
      <c r="H480" s="189">
        <f t="shared" ref="H480" si="22">(G480-0.94)/0.52</f>
        <v>-0.95985359911658541</v>
      </c>
      <c r="I480" s="72" t="s">
        <v>203</v>
      </c>
    </row>
    <row r="481" spans="1:9">
      <c r="A481" s="7"/>
      <c r="B481" s="7"/>
      <c r="C481" s="7"/>
      <c r="D481" s="7" t="s">
        <v>185</v>
      </c>
      <c r="E481" s="7" t="s">
        <v>19</v>
      </c>
      <c r="F481" s="7">
        <v>33.784999999999997</v>
      </c>
      <c r="G481" s="3"/>
      <c r="H481" s="189"/>
    </row>
    <row r="482" spans="1:9">
      <c r="A482" s="341" t="s">
        <v>647</v>
      </c>
      <c r="B482" s="341" t="s">
        <v>655</v>
      </c>
      <c r="C482" s="3" t="s">
        <v>45</v>
      </c>
      <c r="D482" s="3" t="s">
        <v>100</v>
      </c>
      <c r="E482" s="3" t="s">
        <v>17</v>
      </c>
      <c r="F482" s="3">
        <v>17.440999999999999</v>
      </c>
      <c r="G482" s="3">
        <f t="shared" ref="G482" si="23">F482/F483</f>
        <v>0.49183610163277969</v>
      </c>
      <c r="H482" s="308">
        <f t="shared" ref="H482" si="24">(G482-0.94)/0.52</f>
        <v>-0.8618536507061928</v>
      </c>
      <c r="I482" s="72" t="s">
        <v>64</v>
      </c>
    </row>
    <row r="483" spans="1:9">
      <c r="A483" s="3"/>
      <c r="B483" s="3"/>
      <c r="C483" s="3"/>
      <c r="D483" s="3" t="s">
        <v>100</v>
      </c>
      <c r="E483" s="3" t="s">
        <v>19</v>
      </c>
      <c r="F483" s="3">
        <v>35.460999999999999</v>
      </c>
      <c r="G483" s="3"/>
      <c r="H483" s="308"/>
    </row>
    <row r="484" spans="1:9">
      <c r="A484" s="68" t="s">
        <v>647</v>
      </c>
      <c r="B484" s="66" t="s">
        <v>656</v>
      </c>
      <c r="C484" s="66" t="s">
        <v>38</v>
      </c>
      <c r="D484" s="66" t="s">
        <v>83</v>
      </c>
      <c r="E484" s="66" t="s">
        <v>17</v>
      </c>
      <c r="F484" s="66">
        <v>17.14</v>
      </c>
      <c r="G484" s="66">
        <v>0.84796912899999999</v>
      </c>
      <c r="H484" s="339">
        <v>-0.17699999999999999</v>
      </c>
      <c r="I484" s="72" t="s">
        <v>147</v>
      </c>
    </row>
    <row r="485" spans="1:9">
      <c r="A485" s="70" t="s">
        <v>29</v>
      </c>
      <c r="B485" s="65" t="s">
        <v>29</v>
      </c>
      <c r="C485" s="65" t="s">
        <v>29</v>
      </c>
      <c r="D485" s="65" t="s">
        <v>83</v>
      </c>
      <c r="E485" s="65" t="s">
        <v>19</v>
      </c>
      <c r="F485" s="65">
        <v>20.213000000000001</v>
      </c>
      <c r="G485" s="65" t="s">
        <v>29</v>
      </c>
      <c r="H485" s="65" t="s">
        <v>29</v>
      </c>
    </row>
    <row r="486" spans="1:9" s="126" customFormat="1"/>
    <row r="487" spans="1:9">
      <c r="A487" s="303" t="s">
        <v>657</v>
      </c>
      <c r="B487" s="66" t="s">
        <v>658</v>
      </c>
      <c r="C487" s="66" t="s">
        <v>38</v>
      </c>
      <c r="D487" s="66" t="s">
        <v>100</v>
      </c>
      <c r="E487" s="66" t="s">
        <v>17</v>
      </c>
      <c r="F487" s="66">
        <v>15.529</v>
      </c>
      <c r="G487" s="66">
        <v>0.73191308899999996</v>
      </c>
      <c r="H487" s="247">
        <v>-0.4</v>
      </c>
      <c r="I487" s="72" t="s">
        <v>224</v>
      </c>
    </row>
    <row r="488" spans="1:9">
      <c r="A488" s="304" t="s">
        <v>29</v>
      </c>
      <c r="B488" s="65" t="s">
        <v>29</v>
      </c>
      <c r="C488" s="65" t="s">
        <v>29</v>
      </c>
      <c r="D488" s="65" t="s">
        <v>100</v>
      </c>
      <c r="E488" s="65" t="s">
        <v>19</v>
      </c>
      <c r="F488" s="65">
        <v>21.216999999999999</v>
      </c>
      <c r="G488" s="65" t="s">
        <v>29</v>
      </c>
      <c r="H488" s="65" t="s">
        <v>29</v>
      </c>
      <c r="I488" s="97"/>
    </row>
    <row r="489" spans="1:9">
      <c r="A489" s="304" t="s">
        <v>657</v>
      </c>
      <c r="B489" s="65" t="s">
        <v>659</v>
      </c>
      <c r="C489" s="65" t="s">
        <v>45</v>
      </c>
      <c r="D489" s="65" t="s">
        <v>173</v>
      </c>
      <c r="E489" s="65" t="s">
        <v>17</v>
      </c>
      <c r="F489" s="65">
        <v>16.273</v>
      </c>
      <c r="G489" s="65">
        <v>0.73944653999999999</v>
      </c>
      <c r="H489" s="247">
        <v>-0.38600000000000001</v>
      </c>
      <c r="I489" s="72" t="s">
        <v>224</v>
      </c>
    </row>
    <row r="490" spans="1:9">
      <c r="A490" s="304" t="s">
        <v>29</v>
      </c>
      <c r="B490" s="65" t="s">
        <v>29</v>
      </c>
      <c r="C490" s="65" t="s">
        <v>29</v>
      </c>
      <c r="D490" s="65" t="s">
        <v>173</v>
      </c>
      <c r="E490" s="65" t="s">
        <v>19</v>
      </c>
      <c r="F490" s="65">
        <v>22.007000000000001</v>
      </c>
      <c r="G490" s="65" t="s">
        <v>29</v>
      </c>
      <c r="H490" s="65" t="s">
        <v>29</v>
      </c>
      <c r="I490" s="97"/>
    </row>
    <row r="491" spans="1:9">
      <c r="A491" s="304" t="s">
        <v>657</v>
      </c>
      <c r="B491" s="65" t="s">
        <v>660</v>
      </c>
      <c r="C491" s="65" t="s">
        <v>45</v>
      </c>
      <c r="D491" s="65" t="s">
        <v>39</v>
      </c>
      <c r="E491" s="65" t="s">
        <v>17</v>
      </c>
      <c r="F491" s="65">
        <v>15.617000000000001</v>
      </c>
      <c r="G491" s="65">
        <v>0.58860997999999998</v>
      </c>
      <c r="H491" s="247">
        <v>-0.67600000000000005</v>
      </c>
      <c r="I491" s="72" t="s">
        <v>224</v>
      </c>
    </row>
    <row r="492" spans="1:9">
      <c r="A492" s="304" t="s">
        <v>29</v>
      </c>
      <c r="B492" s="65" t="s">
        <v>29</v>
      </c>
      <c r="C492" s="65" t="s">
        <v>29</v>
      </c>
      <c r="D492" s="65" t="s">
        <v>39</v>
      </c>
      <c r="E492" s="65" t="s">
        <v>19</v>
      </c>
      <c r="F492" s="65">
        <v>26.532</v>
      </c>
      <c r="G492" s="65" t="s">
        <v>29</v>
      </c>
      <c r="H492" s="65" t="s">
        <v>29</v>
      </c>
      <c r="I492" s="97"/>
    </row>
    <row r="493" spans="1:9">
      <c r="A493" s="304" t="s">
        <v>657</v>
      </c>
      <c r="B493" s="65" t="s">
        <v>661</v>
      </c>
      <c r="C493" s="65" t="s">
        <v>226</v>
      </c>
      <c r="D493" s="65" t="s">
        <v>42</v>
      </c>
      <c r="E493" s="65" t="s">
        <v>17</v>
      </c>
      <c r="F493" s="65">
        <v>15.433999999999999</v>
      </c>
      <c r="G493" s="65">
        <v>0.52018874299999995</v>
      </c>
      <c r="H493" s="247">
        <v>-0.80700000000000005</v>
      </c>
      <c r="I493" s="72" t="s">
        <v>224</v>
      </c>
    </row>
    <row r="494" spans="1:9">
      <c r="A494" s="304" t="s">
        <v>29</v>
      </c>
      <c r="B494" s="65" t="s">
        <v>29</v>
      </c>
      <c r="C494" s="65" t="s">
        <v>29</v>
      </c>
      <c r="D494" s="65" t="s">
        <v>42</v>
      </c>
      <c r="E494" s="65" t="s">
        <v>19</v>
      </c>
      <c r="F494" s="65">
        <v>29.67</v>
      </c>
      <c r="G494" s="65" t="s">
        <v>29</v>
      </c>
      <c r="H494" s="65" t="s">
        <v>29</v>
      </c>
      <c r="I494" s="97"/>
    </row>
    <row r="495" spans="1:9">
      <c r="A495" s="304" t="s">
        <v>657</v>
      </c>
      <c r="B495" s="65" t="s">
        <v>662</v>
      </c>
      <c r="C495" s="65" t="s">
        <v>45</v>
      </c>
      <c r="D495" s="65" t="s">
        <v>16</v>
      </c>
      <c r="E495" s="65" t="s">
        <v>17</v>
      </c>
      <c r="F495" s="65">
        <v>18.062000000000001</v>
      </c>
      <c r="G495" s="65">
        <v>0.624442524</v>
      </c>
      <c r="H495" s="247">
        <v>-0.60699999999999998</v>
      </c>
      <c r="I495" s="72" t="s">
        <v>224</v>
      </c>
    </row>
    <row r="496" spans="1:9">
      <c r="A496" s="304" t="s">
        <v>29</v>
      </c>
      <c r="B496" s="65" t="s">
        <v>29</v>
      </c>
      <c r="C496" s="65" t="s">
        <v>29</v>
      </c>
      <c r="D496" s="65" t="s">
        <v>16</v>
      </c>
      <c r="E496" s="65" t="s">
        <v>19</v>
      </c>
      <c r="F496" s="65">
        <v>28.925000000000001</v>
      </c>
      <c r="G496" s="65" t="s">
        <v>29</v>
      </c>
      <c r="H496" s="65" t="s">
        <v>29</v>
      </c>
      <c r="I496" s="97"/>
    </row>
    <row r="499" spans="1:14" s="126" customFormat="1"/>
    <row r="500" spans="1:14">
      <c r="A500" s="303" t="s">
        <v>663</v>
      </c>
      <c r="B500" s="66" t="s">
        <v>664</v>
      </c>
      <c r="C500" s="66" t="s">
        <v>38</v>
      </c>
      <c r="D500" s="66" t="s">
        <v>182</v>
      </c>
      <c r="E500" s="66" t="s">
        <v>17</v>
      </c>
      <c r="F500" s="66">
        <v>17.798999999999999</v>
      </c>
      <c r="G500" s="66">
        <v>0.806991295</v>
      </c>
      <c r="H500" s="247">
        <v>-0.25600000000000001</v>
      </c>
      <c r="I500" s="72" t="s">
        <v>224</v>
      </c>
    </row>
    <row r="501" spans="1:14">
      <c r="A501" s="304" t="s">
        <v>29</v>
      </c>
      <c r="B501" s="65" t="s">
        <v>29</v>
      </c>
      <c r="C501" s="65" t="s">
        <v>29</v>
      </c>
      <c r="D501" s="65" t="s">
        <v>182</v>
      </c>
      <c r="E501" s="65" t="s">
        <v>19</v>
      </c>
      <c r="F501" s="65">
        <v>22.056000000000001</v>
      </c>
      <c r="G501" s="65" t="s">
        <v>29</v>
      </c>
      <c r="H501" s="65" t="s">
        <v>29</v>
      </c>
      <c r="I501" s="97"/>
    </row>
    <row r="502" spans="1:14">
      <c r="A502" s="304" t="s">
        <v>663</v>
      </c>
      <c r="B502" s="65" t="s">
        <v>665</v>
      </c>
      <c r="C502" s="65" t="s">
        <v>226</v>
      </c>
      <c r="D502" s="65" t="s">
        <v>185</v>
      </c>
      <c r="E502" s="65" t="s">
        <v>17</v>
      </c>
      <c r="F502" s="65">
        <v>17.535</v>
      </c>
      <c r="G502" s="65">
        <v>1.021139064</v>
      </c>
      <c r="H502" s="249">
        <v>0.156</v>
      </c>
      <c r="I502" s="72" t="s">
        <v>224</v>
      </c>
      <c r="K502" s="169" t="s">
        <v>666</v>
      </c>
      <c r="L502" s="169" t="s">
        <v>667</v>
      </c>
      <c r="M502" s="165">
        <v>44966</v>
      </c>
      <c r="N502" s="181" t="s">
        <v>24</v>
      </c>
    </row>
    <row r="503" spans="1:14">
      <c r="A503" s="304" t="s">
        <v>29</v>
      </c>
      <c r="B503" s="65" t="s">
        <v>29</v>
      </c>
      <c r="C503" s="65" t="s">
        <v>29</v>
      </c>
      <c r="D503" s="65" t="s">
        <v>185</v>
      </c>
      <c r="E503" s="65" t="s">
        <v>19</v>
      </c>
      <c r="F503" s="65">
        <v>17.172000000000001</v>
      </c>
      <c r="G503" s="65" t="s">
        <v>29</v>
      </c>
      <c r="H503" s="65" t="s">
        <v>29</v>
      </c>
      <c r="I503" s="97"/>
    </row>
    <row r="512" spans="1:14" s="126" customFormat="1"/>
    <row r="513" spans="1:9">
      <c r="A513" s="303" t="s">
        <v>668</v>
      </c>
      <c r="B513" s="66" t="s">
        <v>585</v>
      </c>
      <c r="C513" s="66" t="s">
        <v>38</v>
      </c>
      <c r="D513" s="66" t="s">
        <v>71</v>
      </c>
      <c r="E513" s="66" t="s">
        <v>17</v>
      </c>
      <c r="F513" s="66">
        <v>16.477</v>
      </c>
      <c r="G513" s="66">
        <v>0.71187246199999998</v>
      </c>
      <c r="H513" s="247">
        <v>-0.439</v>
      </c>
      <c r="I513" s="72" t="s">
        <v>224</v>
      </c>
    </row>
    <row r="514" spans="1:9">
      <c r="A514" s="304" t="s">
        <v>29</v>
      </c>
      <c r="B514" s="65" t="s">
        <v>29</v>
      </c>
      <c r="C514" s="65" t="s">
        <v>29</v>
      </c>
      <c r="D514" s="65" t="s">
        <v>71</v>
      </c>
      <c r="E514" s="65" t="s">
        <v>19</v>
      </c>
      <c r="F514" s="65">
        <v>23.146000000000001</v>
      </c>
      <c r="G514" s="65" t="s">
        <v>29</v>
      </c>
      <c r="H514" s="65" t="s">
        <v>29</v>
      </c>
      <c r="I514" s="97"/>
    </row>
    <row r="515" spans="1:9">
      <c r="A515" s="304" t="s">
        <v>668</v>
      </c>
      <c r="B515" s="65" t="s">
        <v>669</v>
      </c>
      <c r="C515" s="65" t="s">
        <v>45</v>
      </c>
      <c r="D515" s="65" t="s">
        <v>74</v>
      </c>
      <c r="E515" s="65" t="s">
        <v>17</v>
      </c>
      <c r="F515" s="65">
        <v>17.393000000000001</v>
      </c>
      <c r="G515" s="65">
        <v>0.77408874400000005</v>
      </c>
      <c r="H515" s="247">
        <v>-0.31900000000000001</v>
      </c>
      <c r="I515" s="72" t="s">
        <v>224</v>
      </c>
    </row>
    <row r="516" spans="1:9">
      <c r="A516" s="304" t="s">
        <v>29</v>
      </c>
      <c r="B516" s="65" t="s">
        <v>29</v>
      </c>
      <c r="C516" s="65" t="s">
        <v>29</v>
      </c>
      <c r="D516" s="65" t="s">
        <v>74</v>
      </c>
      <c r="E516" s="65" t="s">
        <v>19</v>
      </c>
      <c r="F516" s="65">
        <v>22.469000000000001</v>
      </c>
      <c r="G516" s="65" t="s">
        <v>29</v>
      </c>
      <c r="H516" s="65" t="s">
        <v>29</v>
      </c>
      <c r="I516" s="97"/>
    </row>
    <row r="517" spans="1:9">
      <c r="A517" s="304" t="s">
        <v>668</v>
      </c>
      <c r="B517" s="65" t="s">
        <v>670</v>
      </c>
      <c r="C517" s="65" t="s">
        <v>45</v>
      </c>
      <c r="D517" s="65" t="s">
        <v>81</v>
      </c>
      <c r="E517" s="65" t="s">
        <v>17</v>
      </c>
      <c r="F517" s="65">
        <v>17.427</v>
      </c>
      <c r="G517" s="65">
        <v>0.81350947600000001</v>
      </c>
      <c r="H517" s="247">
        <v>-0.24299999999999999</v>
      </c>
      <c r="I517" s="72" t="s">
        <v>224</v>
      </c>
    </row>
    <row r="518" spans="1:9">
      <c r="A518" s="304" t="s">
        <v>29</v>
      </c>
      <c r="B518" s="65" t="s">
        <v>29</v>
      </c>
      <c r="C518" s="65" t="s">
        <v>29</v>
      </c>
      <c r="D518" s="65" t="s">
        <v>81</v>
      </c>
      <c r="E518" s="65" t="s">
        <v>19</v>
      </c>
      <c r="F518" s="65">
        <v>21.422000000000001</v>
      </c>
      <c r="G518" s="65" t="s">
        <v>29</v>
      </c>
      <c r="H518" s="65" t="s">
        <v>29</v>
      </c>
      <c r="I518" s="97"/>
    </row>
    <row r="519" spans="1:9">
      <c r="A519" s="304" t="s">
        <v>668</v>
      </c>
      <c r="B519" s="65" t="s">
        <v>671</v>
      </c>
      <c r="C519" s="65" t="s">
        <v>45</v>
      </c>
      <c r="D519" s="65" t="s">
        <v>83</v>
      </c>
      <c r="E519" s="65" t="s">
        <v>17</v>
      </c>
      <c r="F519" s="65">
        <v>16.847999999999999</v>
      </c>
      <c r="G519" s="65">
        <v>0.58888500499999996</v>
      </c>
      <c r="H519" s="247">
        <v>-0.67500000000000004</v>
      </c>
      <c r="I519" s="72" t="s">
        <v>224</v>
      </c>
    </row>
    <row r="520" spans="1:9">
      <c r="A520" s="304" t="s">
        <v>29</v>
      </c>
      <c r="B520" s="65" t="s">
        <v>29</v>
      </c>
      <c r="C520" s="65" t="s">
        <v>29</v>
      </c>
      <c r="D520" s="65" t="s">
        <v>83</v>
      </c>
      <c r="E520" s="65" t="s">
        <v>19</v>
      </c>
      <c r="F520" s="65">
        <v>28.61</v>
      </c>
      <c r="G520" s="65" t="s">
        <v>29</v>
      </c>
      <c r="H520" s="65" t="s">
        <v>29</v>
      </c>
      <c r="I520" s="97"/>
    </row>
    <row r="521" spans="1:9">
      <c r="A521" s="304" t="s">
        <v>668</v>
      </c>
      <c r="B521" s="65" t="s">
        <v>586</v>
      </c>
      <c r="C521" s="65" t="s">
        <v>226</v>
      </c>
      <c r="D521" s="65" t="s">
        <v>27</v>
      </c>
      <c r="E521" s="65" t="s">
        <v>17</v>
      </c>
      <c r="F521" s="65">
        <v>17.77</v>
      </c>
      <c r="G521" s="65">
        <v>0.68769349800000001</v>
      </c>
      <c r="H521" s="247">
        <v>-0.48499999999999999</v>
      </c>
      <c r="I521" s="72" t="s">
        <v>224</v>
      </c>
    </row>
    <row r="522" spans="1:9">
      <c r="A522" s="304" t="s">
        <v>29</v>
      </c>
      <c r="B522" s="65" t="s">
        <v>29</v>
      </c>
      <c r="C522" s="65" t="s">
        <v>29</v>
      </c>
      <c r="D522" s="65" t="s">
        <v>27</v>
      </c>
      <c r="E522" s="65" t="s">
        <v>19</v>
      </c>
      <c r="F522" s="65">
        <v>25.84</v>
      </c>
      <c r="G522" s="65" t="s">
        <v>29</v>
      </c>
      <c r="H522" s="65" t="s">
        <v>29</v>
      </c>
      <c r="I522" s="97"/>
    </row>
    <row r="523" spans="1:9">
      <c r="A523" s="304" t="s">
        <v>668</v>
      </c>
      <c r="B523" s="65" t="s">
        <v>672</v>
      </c>
      <c r="C523" s="65" t="s">
        <v>45</v>
      </c>
      <c r="D523" s="65" t="s">
        <v>31</v>
      </c>
      <c r="E523" s="65" t="s">
        <v>17</v>
      </c>
      <c r="F523" s="65">
        <v>17.303000000000001</v>
      </c>
      <c r="G523" s="65">
        <v>0.95207439199999999</v>
      </c>
      <c r="H523" s="249">
        <v>2.3E-2</v>
      </c>
      <c r="I523" s="72" t="s">
        <v>224</v>
      </c>
    </row>
    <row r="524" spans="1:9">
      <c r="A524" s="304" t="s">
        <v>29</v>
      </c>
      <c r="B524" s="65" t="s">
        <v>29</v>
      </c>
      <c r="C524" s="65" t="s">
        <v>29</v>
      </c>
      <c r="D524" s="65" t="s">
        <v>31</v>
      </c>
      <c r="E524" s="65" t="s">
        <v>19</v>
      </c>
      <c r="F524" s="65">
        <v>18.173999999999999</v>
      </c>
      <c r="G524" s="65" t="s">
        <v>29</v>
      </c>
      <c r="H524" s="65" t="s">
        <v>29</v>
      </c>
      <c r="I524" s="97"/>
    </row>
    <row r="525" spans="1:9">
      <c r="A525" s="97"/>
      <c r="B525" s="97"/>
      <c r="C525" s="97"/>
      <c r="D525" s="97"/>
      <c r="E525" s="97"/>
      <c r="F525" s="97"/>
      <c r="G525" s="97"/>
      <c r="H525" s="97"/>
      <c r="I525" s="97"/>
    </row>
    <row r="526" spans="1:9">
      <c r="A526" s="3" t="s">
        <v>673</v>
      </c>
      <c r="B526" s="3" t="s">
        <v>585</v>
      </c>
      <c r="C526" s="3" t="s">
        <v>38</v>
      </c>
      <c r="D526" s="3" t="s">
        <v>68</v>
      </c>
      <c r="E526" s="3" t="s">
        <v>17</v>
      </c>
      <c r="F526" s="3">
        <v>18.225000000000001</v>
      </c>
      <c r="G526" s="3">
        <f>F526/F527</f>
        <v>0.8531504540773337</v>
      </c>
      <c r="H526" s="308">
        <f>(G526-0.94)/0.52</f>
        <v>-0.16701835754358893</v>
      </c>
      <c r="I526" s="322" t="s">
        <v>64</v>
      </c>
    </row>
    <row r="527" spans="1:9">
      <c r="A527" s="3"/>
      <c r="B527" s="3"/>
      <c r="C527" s="3"/>
      <c r="D527" s="3" t="s">
        <v>68</v>
      </c>
      <c r="E527" s="3" t="s">
        <v>19</v>
      </c>
      <c r="F527" s="3">
        <v>21.361999999999998</v>
      </c>
      <c r="G527" s="3"/>
      <c r="H527" s="308"/>
      <c r="I527" s="97"/>
    </row>
    <row r="528" spans="1:9">
      <c r="A528" s="3" t="s">
        <v>673</v>
      </c>
      <c r="B528" s="3" t="s">
        <v>586</v>
      </c>
      <c r="C528" s="3" t="s">
        <v>21</v>
      </c>
      <c r="D528" s="3" t="s">
        <v>71</v>
      </c>
      <c r="E528" s="3" t="s">
        <v>17</v>
      </c>
      <c r="F528" s="3">
        <v>24.280999999999999</v>
      </c>
      <c r="G528" s="3">
        <f t="shared" ref="G528:G530" si="25">F528/F529</f>
        <v>1.4425499049429658</v>
      </c>
      <c r="H528" s="308">
        <f t="shared" ref="H528:H530" si="26">(G528-0.94)/0.52</f>
        <v>0.96644212489031878</v>
      </c>
      <c r="I528" s="322" t="s">
        <v>64</v>
      </c>
    </row>
    <row r="529" spans="1:9">
      <c r="A529" s="3"/>
      <c r="B529" s="3"/>
      <c r="C529" s="3"/>
      <c r="D529" s="3" t="s">
        <v>71</v>
      </c>
      <c r="E529" s="3" t="s">
        <v>19</v>
      </c>
      <c r="F529" s="3">
        <v>16.832000000000001</v>
      </c>
      <c r="G529" s="3"/>
      <c r="H529" s="308"/>
      <c r="I529" s="97"/>
    </row>
    <row r="530" spans="1:9">
      <c r="A530" s="3" t="s">
        <v>673</v>
      </c>
      <c r="B530" s="3" t="s">
        <v>672</v>
      </c>
      <c r="C530" s="3" t="s">
        <v>45</v>
      </c>
      <c r="D530" s="3" t="s">
        <v>74</v>
      </c>
      <c r="E530" s="3" t="s">
        <v>17</v>
      </c>
      <c r="F530" s="3">
        <v>32.841999999999999</v>
      </c>
      <c r="G530" s="3">
        <f t="shared" si="25"/>
        <v>1.9468848183057679</v>
      </c>
      <c r="H530" s="308">
        <f t="shared" si="26"/>
        <v>1.9363169582803228</v>
      </c>
      <c r="I530" s="322" t="s">
        <v>64</v>
      </c>
    </row>
    <row r="531" spans="1:9">
      <c r="A531" s="3"/>
      <c r="B531" s="3"/>
      <c r="C531" s="3"/>
      <c r="D531" s="3" t="s">
        <v>74</v>
      </c>
      <c r="E531" s="3" t="s">
        <v>19</v>
      </c>
      <c r="F531" s="3">
        <v>16.869</v>
      </c>
      <c r="G531" s="3"/>
      <c r="H531" s="308"/>
      <c r="I531" s="97"/>
    </row>
    <row r="532" spans="1:9" s="126" customFormat="1"/>
    <row r="533" spans="1:9">
      <c r="A533" s="4" t="s">
        <v>674</v>
      </c>
      <c r="B533" s="4" t="s">
        <v>675</v>
      </c>
      <c r="C533" s="4" t="s">
        <v>38</v>
      </c>
      <c r="D533" s="4" t="s">
        <v>68</v>
      </c>
      <c r="E533" s="4" t="s">
        <v>17</v>
      </c>
      <c r="F533" s="4">
        <v>15.548999999999999</v>
      </c>
      <c r="G533" s="3">
        <f>F533/F534</f>
        <v>0.8069437957340807</v>
      </c>
      <c r="H533" s="189">
        <f>(G533-0.94)/0.52</f>
        <v>-0.25587731589599855</v>
      </c>
      <c r="I533" s="320" t="s">
        <v>203</v>
      </c>
    </row>
    <row r="534" spans="1:9">
      <c r="A534" s="4"/>
      <c r="B534" s="4"/>
      <c r="C534" s="4"/>
      <c r="D534" s="4" t="s">
        <v>68</v>
      </c>
      <c r="E534" s="4" t="s">
        <v>19</v>
      </c>
      <c r="F534" s="4">
        <v>19.268999999999998</v>
      </c>
      <c r="G534" s="3"/>
      <c r="H534" s="189"/>
    </row>
    <row r="535" spans="1:9">
      <c r="A535" s="4" t="s">
        <v>674</v>
      </c>
      <c r="B535" s="4" t="s">
        <v>676</v>
      </c>
      <c r="C535" s="4" t="s">
        <v>21</v>
      </c>
      <c r="D535" s="4" t="s">
        <v>71</v>
      </c>
      <c r="E535" s="4" t="s">
        <v>17</v>
      </c>
      <c r="F535" s="4">
        <v>15.94</v>
      </c>
      <c r="G535" s="3">
        <f t="shared" ref="G535" si="27">F535/F536</f>
        <v>0.66769991203451595</v>
      </c>
      <c r="H535" s="189">
        <f t="shared" ref="H535" si="28">(G535-0.94)/0.52</f>
        <v>-0.52365401531823841</v>
      </c>
      <c r="I535" s="320" t="s">
        <v>203</v>
      </c>
    </row>
    <row r="536" spans="1:9">
      <c r="A536" s="4"/>
      <c r="B536" s="4"/>
      <c r="C536" s="4"/>
      <c r="D536" s="4" t="s">
        <v>71</v>
      </c>
      <c r="E536" s="4" t="s">
        <v>19</v>
      </c>
      <c r="F536" s="4">
        <v>23.873000000000001</v>
      </c>
      <c r="G536" s="3"/>
      <c r="H536" s="189"/>
    </row>
    <row r="546" spans="1:14" s="126" customFormat="1"/>
    <row r="547" spans="1:14">
      <c r="A547" s="4" t="s">
        <v>677</v>
      </c>
      <c r="B547" s="4" t="s">
        <v>678</v>
      </c>
      <c r="C547" s="4" t="s">
        <v>38</v>
      </c>
      <c r="D547" s="4" t="s">
        <v>74</v>
      </c>
      <c r="E547" s="4" t="s">
        <v>17</v>
      </c>
      <c r="F547" s="4">
        <v>14.878</v>
      </c>
      <c r="G547" s="3">
        <f t="shared" ref="G547:G551" si="29">F547/F548</f>
        <v>0.73078245493393579</v>
      </c>
      <c r="H547" s="189">
        <f t="shared" ref="H547:H551" si="30">(G547-0.94)/0.52</f>
        <v>-0.40234143281935414</v>
      </c>
      <c r="I547" s="320" t="s">
        <v>203</v>
      </c>
    </row>
    <row r="548" spans="1:14">
      <c r="A548" s="4"/>
      <c r="B548" s="4"/>
      <c r="C548" s="4"/>
      <c r="D548" s="4" t="s">
        <v>74</v>
      </c>
      <c r="E548" s="4" t="s">
        <v>19</v>
      </c>
      <c r="F548" s="4">
        <v>20.359000000000002</v>
      </c>
      <c r="G548" s="3"/>
      <c r="H548" s="189"/>
    </row>
    <row r="549" spans="1:14">
      <c r="A549" s="4" t="s">
        <v>677</v>
      </c>
      <c r="B549" s="4" t="s">
        <v>679</v>
      </c>
      <c r="C549" s="4" t="s">
        <v>21</v>
      </c>
      <c r="D549" s="4" t="s">
        <v>81</v>
      </c>
      <c r="E549" s="4" t="s">
        <v>17</v>
      </c>
      <c r="F549" s="4">
        <v>14.48</v>
      </c>
      <c r="G549" s="3">
        <f t="shared" si="29"/>
        <v>0.79573556080672647</v>
      </c>
      <c r="H549" s="189">
        <f t="shared" si="30"/>
        <v>-0.27743161383321824</v>
      </c>
      <c r="I549" s="320" t="s">
        <v>203</v>
      </c>
      <c r="K549" s="169" t="s">
        <v>680</v>
      </c>
      <c r="L549" s="169" t="s">
        <v>677</v>
      </c>
      <c r="M549" s="165">
        <v>45020</v>
      </c>
      <c r="N549" s="181" t="s">
        <v>681</v>
      </c>
    </row>
    <row r="550" spans="1:14">
      <c r="A550" s="4"/>
      <c r="B550" s="4"/>
      <c r="C550" s="4"/>
      <c r="D550" s="4" t="s">
        <v>81</v>
      </c>
      <c r="E550" s="4" t="s">
        <v>19</v>
      </c>
      <c r="F550" s="4">
        <v>18.196999999999999</v>
      </c>
      <c r="G550" s="3"/>
      <c r="H550" s="189"/>
    </row>
    <row r="551" spans="1:14">
      <c r="A551" s="4" t="s">
        <v>677</v>
      </c>
      <c r="B551" s="4" t="s">
        <v>682</v>
      </c>
      <c r="C551" s="4" t="s">
        <v>45</v>
      </c>
      <c r="D551" s="4" t="s">
        <v>83</v>
      </c>
      <c r="E551" s="4" t="s">
        <v>17</v>
      </c>
      <c r="F551" s="4">
        <v>14.819000000000001</v>
      </c>
      <c r="G551" s="3">
        <f t="shared" si="29"/>
        <v>0.66354721712264375</v>
      </c>
      <c r="H551" s="189">
        <f t="shared" si="30"/>
        <v>-0.5316399670718388</v>
      </c>
      <c r="I551" s="320" t="s">
        <v>203</v>
      </c>
    </row>
    <row r="552" spans="1:14">
      <c r="A552" s="4"/>
      <c r="B552" s="4"/>
      <c r="C552" s="4"/>
      <c r="D552" s="4" t="s">
        <v>83</v>
      </c>
      <c r="E552" s="4" t="s">
        <v>19</v>
      </c>
      <c r="F552" s="4">
        <v>22.332999999999998</v>
      </c>
      <c r="G552" s="3"/>
      <c r="H552" s="189"/>
    </row>
    <row r="553" spans="1:14">
      <c r="A553" s="3" t="s">
        <v>677</v>
      </c>
      <c r="B553" s="3" t="s">
        <v>683</v>
      </c>
      <c r="C553" s="3" t="s">
        <v>45</v>
      </c>
      <c r="D553" s="3" t="s">
        <v>81</v>
      </c>
      <c r="E553" s="3" t="s">
        <v>17</v>
      </c>
      <c r="F553" s="3">
        <v>15.811999999999999</v>
      </c>
      <c r="G553" s="3">
        <f t="shared" ref="G553" si="31">F553/F554</f>
        <v>0.6463110566114858</v>
      </c>
      <c r="H553" s="308">
        <f t="shared" ref="H553" si="32">(G553-0.94)/0.52</f>
        <v>-0.56478642959329639</v>
      </c>
      <c r="I553" s="72" t="s">
        <v>232</v>
      </c>
      <c r="K553" s="169" t="s">
        <v>684</v>
      </c>
      <c r="L553" s="169" t="s">
        <v>677</v>
      </c>
      <c r="M553" s="165">
        <v>45056</v>
      </c>
      <c r="N553" s="181" t="s">
        <v>24</v>
      </c>
    </row>
    <row r="554" spans="1:14">
      <c r="A554" s="7"/>
      <c r="B554" s="7"/>
      <c r="C554" s="7"/>
      <c r="D554" s="3" t="s">
        <v>81</v>
      </c>
      <c r="E554" s="3" t="s">
        <v>19</v>
      </c>
      <c r="F554" s="3">
        <v>24.465</v>
      </c>
      <c r="G554" s="3"/>
      <c r="H554" s="308"/>
    </row>
    <row r="560" spans="1:14" s="126" customFormat="1"/>
    <row r="561" spans="1:9">
      <c r="A561" s="4" t="s">
        <v>685</v>
      </c>
      <c r="B561" s="4" t="s">
        <v>686</v>
      </c>
      <c r="C561" s="4" t="s">
        <v>38</v>
      </c>
      <c r="D561" s="4" t="s">
        <v>52</v>
      </c>
      <c r="E561" s="4" t="s">
        <v>17</v>
      </c>
      <c r="F561" s="4">
        <v>15.275</v>
      </c>
      <c r="G561" s="3">
        <f t="shared" ref="G561:G563" si="33">F561/F562</f>
        <v>0.70249264164827085</v>
      </c>
      <c r="H561" s="189">
        <f t="shared" ref="H561:H563" si="34">(G561-0.94)/0.52</f>
        <v>-0.45674491990717131</v>
      </c>
      <c r="I561" s="320" t="s">
        <v>203</v>
      </c>
    </row>
    <row r="562" spans="1:9">
      <c r="A562" s="4"/>
      <c r="B562" s="4"/>
      <c r="C562" s="4"/>
      <c r="D562" s="4" t="s">
        <v>52</v>
      </c>
      <c r="E562" s="4" t="s">
        <v>19</v>
      </c>
      <c r="F562" s="4">
        <v>21.744</v>
      </c>
      <c r="G562" s="3"/>
      <c r="H562" s="189"/>
    </row>
    <row r="563" spans="1:9">
      <c r="A563" s="4" t="s">
        <v>685</v>
      </c>
      <c r="B563" s="4" t="s">
        <v>687</v>
      </c>
      <c r="C563" s="4" t="s">
        <v>21</v>
      </c>
      <c r="D563" s="4" t="s">
        <v>55</v>
      </c>
      <c r="E563" s="4" t="s">
        <v>17</v>
      </c>
      <c r="F563" s="4">
        <v>17.571000000000002</v>
      </c>
      <c r="G563" s="3">
        <f t="shared" si="33"/>
        <v>0.94043031470777139</v>
      </c>
      <c r="H563" s="189">
        <f t="shared" si="34"/>
        <v>8.2752828417584562E-4</v>
      </c>
      <c r="I563" s="320" t="s">
        <v>203</v>
      </c>
    </row>
    <row r="564" spans="1:9">
      <c r="A564" s="4"/>
      <c r="B564" s="4"/>
      <c r="C564" s="4"/>
      <c r="D564" s="4" t="s">
        <v>55</v>
      </c>
      <c r="E564" s="4" t="s">
        <v>19</v>
      </c>
      <c r="F564" s="4">
        <v>18.684000000000001</v>
      </c>
      <c r="G564" s="3"/>
      <c r="H564" s="189"/>
    </row>
    <row r="574" spans="1:9" s="126" customFormat="1"/>
    <row r="575" spans="1:9">
      <c r="A575" s="4" t="s">
        <v>688</v>
      </c>
      <c r="B575" s="4" t="s">
        <v>640</v>
      </c>
      <c r="C575" s="4" t="s">
        <v>38</v>
      </c>
      <c r="D575" s="4" t="s">
        <v>27</v>
      </c>
      <c r="E575" s="4" t="s">
        <v>17</v>
      </c>
      <c r="F575" s="4">
        <v>15.319000000000001</v>
      </c>
      <c r="G575" s="3">
        <f t="shared" ref="G575:G579" si="35">F575/F576</f>
        <v>0.74519628350440248</v>
      </c>
      <c r="H575" s="189">
        <f t="shared" ref="H575:H579" si="36">(G575-0.94)/0.52</f>
        <v>-0.37462253172230281</v>
      </c>
      <c r="I575" s="320" t="s">
        <v>203</v>
      </c>
    </row>
    <row r="576" spans="1:9">
      <c r="A576" s="4"/>
      <c r="B576" s="4"/>
      <c r="C576" s="4"/>
      <c r="D576" s="4" t="s">
        <v>27</v>
      </c>
      <c r="E576" s="4" t="s">
        <v>19</v>
      </c>
      <c r="F576" s="4">
        <v>20.556999999999999</v>
      </c>
      <c r="G576" s="3"/>
      <c r="H576" s="189"/>
    </row>
    <row r="577" spans="1:14">
      <c r="A577" s="4" t="s">
        <v>688</v>
      </c>
      <c r="B577" s="4" t="s">
        <v>689</v>
      </c>
      <c r="C577" s="4" t="s">
        <v>45</v>
      </c>
      <c r="D577" s="4" t="s">
        <v>34</v>
      </c>
      <c r="E577" s="4" t="s">
        <v>17</v>
      </c>
      <c r="F577" s="4">
        <v>15.622</v>
      </c>
      <c r="G577" s="3">
        <f t="shared" si="35"/>
        <v>0.55252175143241133</v>
      </c>
      <c r="H577" s="189">
        <f t="shared" si="36"/>
        <v>-0.74515047801459344</v>
      </c>
      <c r="I577" s="320" t="s">
        <v>203</v>
      </c>
      <c r="K577" s="169" t="s">
        <v>644</v>
      </c>
      <c r="L577" s="169" t="s">
        <v>688</v>
      </c>
      <c r="M577" s="165">
        <v>45020</v>
      </c>
      <c r="N577" s="181" t="s">
        <v>24</v>
      </c>
    </row>
    <row r="578" spans="1:14">
      <c r="A578" s="4"/>
      <c r="B578" s="4"/>
      <c r="C578" s="4"/>
      <c r="D578" s="4" t="s">
        <v>34</v>
      </c>
      <c r="E578" s="4" t="s">
        <v>19</v>
      </c>
      <c r="F578" s="4">
        <v>28.274000000000001</v>
      </c>
      <c r="G578" s="3"/>
      <c r="H578" s="189"/>
    </row>
    <row r="579" spans="1:14">
      <c r="A579" s="4" t="s">
        <v>688</v>
      </c>
      <c r="B579" s="4" t="s">
        <v>643</v>
      </c>
      <c r="C579" s="4" t="s">
        <v>21</v>
      </c>
      <c r="D579" s="4" t="s">
        <v>59</v>
      </c>
      <c r="E579" s="4" t="s">
        <v>17</v>
      </c>
      <c r="F579" s="4">
        <v>15.728</v>
      </c>
      <c r="G579" s="3">
        <f t="shared" si="35"/>
        <v>0.56231676796567753</v>
      </c>
      <c r="H579" s="189">
        <f t="shared" si="36"/>
        <v>-0.72631390775831228</v>
      </c>
      <c r="I579" s="320" t="s">
        <v>203</v>
      </c>
    </row>
    <row r="580" spans="1:14">
      <c r="A580" s="4"/>
      <c r="B580" s="4"/>
      <c r="C580" s="4"/>
      <c r="D580" s="4" t="s">
        <v>59</v>
      </c>
      <c r="E580" s="4" t="s">
        <v>19</v>
      </c>
      <c r="F580" s="4">
        <v>27.97</v>
      </c>
      <c r="G580" s="3"/>
      <c r="H580" s="189"/>
    </row>
    <row r="581" spans="1:14">
      <c r="A581" s="3" t="s">
        <v>688</v>
      </c>
      <c r="B581" s="3" t="s">
        <v>645</v>
      </c>
      <c r="C581" s="3" t="s">
        <v>45</v>
      </c>
      <c r="D581" s="3" t="s">
        <v>185</v>
      </c>
      <c r="E581" s="3" t="s">
        <v>17</v>
      </c>
      <c r="F581" s="3">
        <v>16.094000000000001</v>
      </c>
      <c r="G581" s="3">
        <f t="shared" ref="G581" si="37">F581/F582</f>
        <v>0.69577623103194852</v>
      </c>
      <c r="H581" s="308">
        <f t="shared" ref="H581" si="38">(G581-0.94)/0.52</f>
        <v>-0.46966109416932966</v>
      </c>
      <c r="I581" s="72" t="s">
        <v>64</v>
      </c>
    </row>
    <row r="582" spans="1:14">
      <c r="A582" s="3"/>
      <c r="B582" s="3"/>
      <c r="C582" s="3"/>
      <c r="D582" s="3" t="s">
        <v>185</v>
      </c>
      <c r="E582" s="3" t="s">
        <v>19</v>
      </c>
      <c r="F582" s="3">
        <v>23.131</v>
      </c>
      <c r="G582" s="3"/>
      <c r="H582" s="308"/>
    </row>
    <row r="588" spans="1:14" s="126" customFormat="1"/>
    <row r="589" spans="1:14">
      <c r="A589" s="3" t="s">
        <v>690</v>
      </c>
      <c r="B589" s="3" t="s">
        <v>691</v>
      </c>
      <c r="C589" s="3" t="s">
        <v>38</v>
      </c>
      <c r="D589" s="3" t="s">
        <v>34</v>
      </c>
      <c r="E589" s="3" t="s">
        <v>17</v>
      </c>
      <c r="F589" s="3">
        <v>18.507000000000001</v>
      </c>
      <c r="G589" s="3">
        <f t="shared" ref="G589" si="39">F589/F590</f>
        <v>0.8444900752908967</v>
      </c>
      <c r="H589" s="308">
        <f t="shared" ref="H589:H593" si="40">(G589-0.94)/0.52</f>
        <v>-0.18367293213289085</v>
      </c>
      <c r="I589" s="72" t="s">
        <v>101</v>
      </c>
    </row>
    <row r="590" spans="1:14">
      <c r="A590" s="3"/>
      <c r="B590" s="3"/>
      <c r="C590" s="3"/>
      <c r="D590" s="3" t="s">
        <v>34</v>
      </c>
      <c r="E590" s="3" t="s">
        <v>19</v>
      </c>
      <c r="F590" s="3">
        <v>21.914999999999999</v>
      </c>
      <c r="G590" s="3"/>
      <c r="H590" s="308"/>
    </row>
    <row r="591" spans="1:14">
      <c r="A591" s="3" t="s">
        <v>690</v>
      </c>
      <c r="B591" s="3" t="s">
        <v>692</v>
      </c>
      <c r="C591" s="3" t="s">
        <v>21</v>
      </c>
      <c r="D591" s="3" t="s">
        <v>105</v>
      </c>
      <c r="E591" s="3" t="s">
        <v>17</v>
      </c>
      <c r="F591" s="3">
        <v>16.605</v>
      </c>
      <c r="G591" s="3">
        <f t="shared" ref="G591" si="41">F591/F592</f>
        <v>0.85858324715615308</v>
      </c>
      <c r="H591" s="308">
        <f t="shared" si="40"/>
        <v>-0.15657067854585935</v>
      </c>
      <c r="I591" s="72" t="s">
        <v>101</v>
      </c>
      <c r="K591" s="169" t="s">
        <v>693</v>
      </c>
      <c r="L591" s="169" t="s">
        <v>690</v>
      </c>
      <c r="M591" s="165">
        <v>45020</v>
      </c>
      <c r="N591" s="181" t="s">
        <v>24</v>
      </c>
    </row>
    <row r="592" spans="1:14">
      <c r="A592" s="3"/>
      <c r="B592" s="3"/>
      <c r="C592" s="3"/>
      <c r="D592" s="3" t="s">
        <v>105</v>
      </c>
      <c r="E592" s="3" t="s">
        <v>19</v>
      </c>
      <c r="F592" s="3">
        <v>19.34</v>
      </c>
      <c r="G592" s="3"/>
      <c r="H592" s="308"/>
    </row>
    <row r="593" spans="1:9">
      <c r="A593" s="3" t="s">
        <v>690</v>
      </c>
      <c r="B593" s="3" t="s">
        <v>694</v>
      </c>
      <c r="C593" s="3" t="s">
        <v>45</v>
      </c>
      <c r="D593" s="3" t="s">
        <v>59</v>
      </c>
      <c r="E593" s="3" t="s">
        <v>17</v>
      </c>
      <c r="F593" s="3">
        <v>17.611000000000001</v>
      </c>
      <c r="G593" s="3">
        <f t="shared" ref="G593" si="42">F593/F594</f>
        <v>0.85374248594143887</v>
      </c>
      <c r="H593" s="308">
        <f t="shared" si="40"/>
        <v>-0.16587983472800208</v>
      </c>
      <c r="I593" s="72" t="s">
        <v>101</v>
      </c>
    </row>
    <row r="594" spans="1:9">
      <c r="A594" s="3"/>
      <c r="B594" s="3"/>
      <c r="C594" s="3"/>
      <c r="D594" s="3" t="s">
        <v>59</v>
      </c>
      <c r="E594" s="3" t="s">
        <v>19</v>
      </c>
      <c r="F594" s="3">
        <v>20.628</v>
      </c>
      <c r="G594" s="3"/>
      <c r="H594" s="308"/>
    </row>
    <row r="595" spans="1:9">
      <c r="A595" s="3" t="s">
        <v>690</v>
      </c>
      <c r="B595" s="3" t="s">
        <v>695</v>
      </c>
      <c r="C595" s="3" t="s">
        <v>45</v>
      </c>
      <c r="D595" s="3" t="s">
        <v>83</v>
      </c>
      <c r="E595" s="3" t="s">
        <v>17</v>
      </c>
      <c r="F595" s="3">
        <v>18.722999999999999</v>
      </c>
      <c r="G595" s="3">
        <f t="shared" ref="G595" si="43">F595/F596</f>
        <v>1.0063423810803547</v>
      </c>
      <c r="H595" s="308">
        <f t="shared" ref="H595" si="44">(G595-0.94)/0.52</f>
        <v>0.12758150207760524</v>
      </c>
      <c r="I595" s="72" t="s">
        <v>232</v>
      </c>
    </row>
    <row r="596" spans="1:9">
      <c r="A596" s="7"/>
      <c r="B596" s="7"/>
      <c r="C596" s="7"/>
      <c r="D596" s="3" t="s">
        <v>83</v>
      </c>
      <c r="E596" s="3" t="s">
        <v>19</v>
      </c>
      <c r="F596" s="3">
        <v>18.605</v>
      </c>
      <c r="G596" s="3"/>
      <c r="H596" s="308"/>
    </row>
    <row r="602" spans="1:9" s="126" customFormat="1"/>
    <row r="603" spans="1:9">
      <c r="A603" s="3" t="s">
        <v>696</v>
      </c>
      <c r="B603" s="3" t="s">
        <v>478</v>
      </c>
      <c r="C603" s="3" t="s">
        <v>38</v>
      </c>
      <c r="D603" s="3" t="s">
        <v>49</v>
      </c>
      <c r="E603" s="3" t="s">
        <v>17</v>
      </c>
      <c r="F603" s="3">
        <v>17.224</v>
      </c>
      <c r="G603" s="3">
        <f t="shared" ref="G603" si="45">F603/F604</f>
        <v>0.89410299003322258</v>
      </c>
      <c r="H603" s="308">
        <f t="shared" ref="H603:H607" si="46">(G603-0.94)/0.52</f>
        <v>-8.8263480705341096E-2</v>
      </c>
      <c r="I603" s="72" t="s">
        <v>101</v>
      </c>
    </row>
    <row r="604" spans="1:9">
      <c r="A604" s="3"/>
      <c r="B604" s="3"/>
      <c r="C604" s="3"/>
      <c r="D604" s="3" t="s">
        <v>49</v>
      </c>
      <c r="E604" s="3" t="s">
        <v>19</v>
      </c>
      <c r="F604" s="3">
        <v>19.263999999999999</v>
      </c>
      <c r="G604" s="3"/>
      <c r="H604" s="308"/>
    </row>
    <row r="605" spans="1:9">
      <c r="A605" s="3" t="s">
        <v>696</v>
      </c>
      <c r="B605" s="3" t="s">
        <v>697</v>
      </c>
      <c r="C605" s="3" t="s">
        <v>45</v>
      </c>
      <c r="D605" s="3" t="s">
        <v>52</v>
      </c>
      <c r="E605" s="3" t="s">
        <v>17</v>
      </c>
      <c r="F605" s="3">
        <v>17.565999999999999</v>
      </c>
      <c r="G605" s="3">
        <f t="shared" ref="G605" si="47">F605/F606</f>
        <v>0.68711128495990603</v>
      </c>
      <c r="H605" s="308">
        <f t="shared" si="46"/>
        <v>-0.4863244520001806</v>
      </c>
      <c r="I605" s="72" t="s">
        <v>101</v>
      </c>
    </row>
    <row r="606" spans="1:9">
      <c r="A606" s="3"/>
      <c r="B606" s="3"/>
      <c r="C606" s="3"/>
      <c r="D606" s="3" t="s">
        <v>52</v>
      </c>
      <c r="E606" s="3" t="s">
        <v>19</v>
      </c>
      <c r="F606" s="3">
        <v>25.565000000000001</v>
      </c>
      <c r="G606" s="3"/>
      <c r="H606" s="308"/>
    </row>
    <row r="607" spans="1:9">
      <c r="A607" s="3" t="s">
        <v>696</v>
      </c>
      <c r="B607" s="3" t="s">
        <v>479</v>
      </c>
      <c r="C607" s="3" t="s">
        <v>21</v>
      </c>
      <c r="D607" s="3" t="s">
        <v>55</v>
      </c>
      <c r="E607" s="3" t="s">
        <v>17</v>
      </c>
      <c r="F607" s="3">
        <v>17.773</v>
      </c>
      <c r="G607" s="3">
        <f t="shared" ref="G607" si="48">F607/F608</f>
        <v>0.62989084207541812</v>
      </c>
      <c r="H607" s="308">
        <f t="shared" si="46"/>
        <v>-0.59636376523958046</v>
      </c>
      <c r="I607" s="72" t="s">
        <v>101</v>
      </c>
    </row>
    <row r="608" spans="1:9">
      <c r="A608" s="3"/>
      <c r="B608" s="3"/>
      <c r="C608" s="3"/>
      <c r="D608" s="3" t="s">
        <v>55</v>
      </c>
      <c r="E608" s="3" t="s">
        <v>19</v>
      </c>
      <c r="F608" s="3">
        <v>28.216000000000001</v>
      </c>
      <c r="G608" s="3"/>
      <c r="H608" s="308"/>
    </row>
    <row r="616" spans="1:9" s="126" customFormat="1"/>
    <row r="617" spans="1:9">
      <c r="A617" s="3" t="s">
        <v>698</v>
      </c>
      <c r="B617" s="3" t="s">
        <v>456</v>
      </c>
      <c r="C617" s="3" t="s">
        <v>15</v>
      </c>
      <c r="D617" s="3" t="s">
        <v>16</v>
      </c>
      <c r="E617" s="3" t="s">
        <v>17</v>
      </c>
      <c r="F617" s="3">
        <v>13.186</v>
      </c>
      <c r="G617" s="3">
        <f t="shared" ref="G617" si="49">F617/F618</f>
        <v>0.7141851270107783</v>
      </c>
      <c r="H617" s="308">
        <f t="shared" ref="H617" si="50">(G617-0.94)/0.52</f>
        <v>-0.43425937113311852</v>
      </c>
      <c r="I617" s="72" t="s">
        <v>120</v>
      </c>
    </row>
    <row r="618" spans="1:9">
      <c r="A618" s="3"/>
      <c r="B618" s="3"/>
      <c r="C618" s="3"/>
      <c r="D618" s="3" t="s">
        <v>16</v>
      </c>
      <c r="E618" s="3" t="s">
        <v>19</v>
      </c>
      <c r="F618" s="3">
        <v>18.463000000000001</v>
      </c>
      <c r="G618" s="3"/>
      <c r="H618" s="308"/>
    </row>
    <row r="619" spans="1:9">
      <c r="A619" s="323" t="s">
        <v>698</v>
      </c>
      <c r="B619" s="323" t="s">
        <v>699</v>
      </c>
      <c r="C619" s="323" t="s">
        <v>45</v>
      </c>
      <c r="D619" s="323" t="s">
        <v>22</v>
      </c>
      <c r="E619" s="323" t="s">
        <v>17</v>
      </c>
      <c r="F619" s="323" t="s">
        <v>522</v>
      </c>
      <c r="G619" s="323" t="e">
        <f t="shared" ref="G619" si="51">F619/F620</f>
        <v>#VALUE!</v>
      </c>
      <c r="H619" s="324" t="e">
        <f t="shared" ref="H619" si="52">(G619-0.94)/0.52</f>
        <v>#VALUE!</v>
      </c>
      <c r="I619" s="72" t="s">
        <v>120</v>
      </c>
    </row>
    <row r="620" spans="1:9">
      <c r="A620" s="323"/>
      <c r="B620" s="323"/>
      <c r="C620" s="323"/>
      <c r="D620" s="323" t="s">
        <v>22</v>
      </c>
      <c r="E620" s="323" t="s">
        <v>19</v>
      </c>
      <c r="F620" s="323">
        <v>34.36</v>
      </c>
      <c r="G620" s="323"/>
      <c r="H620" s="324"/>
    </row>
    <row r="621" spans="1:9">
      <c r="A621" s="3" t="s">
        <v>698</v>
      </c>
      <c r="B621" s="3" t="s">
        <v>457</v>
      </c>
      <c r="C621" s="3" t="s">
        <v>21</v>
      </c>
      <c r="D621" s="3" t="s">
        <v>335</v>
      </c>
      <c r="E621" s="3" t="s">
        <v>17</v>
      </c>
      <c r="F621" s="3">
        <v>14.763</v>
      </c>
      <c r="G621" s="3">
        <f t="shared" ref="G621" si="53">F621/F622</f>
        <v>0.51812725932685222</v>
      </c>
      <c r="H621" s="308">
        <f t="shared" ref="H621" si="54">(G621-0.94)/0.52</f>
        <v>-0.81129373206374555</v>
      </c>
      <c r="I621" s="72" t="s">
        <v>120</v>
      </c>
    </row>
    <row r="622" spans="1:9">
      <c r="A622" s="3"/>
      <c r="B622" s="3"/>
      <c r="C622" s="3"/>
      <c r="D622" s="3" t="s">
        <v>335</v>
      </c>
      <c r="E622" s="3" t="s">
        <v>19</v>
      </c>
      <c r="F622" s="3">
        <v>28.492999999999999</v>
      </c>
      <c r="G622" s="3"/>
      <c r="H622" s="308"/>
    </row>
    <row r="623" spans="1:9">
      <c r="A623" s="3" t="s">
        <v>698</v>
      </c>
      <c r="B623" s="331" t="s">
        <v>463</v>
      </c>
      <c r="C623" s="3" t="s">
        <v>45</v>
      </c>
      <c r="D623" s="3" t="s">
        <v>231</v>
      </c>
      <c r="E623" s="3" t="s">
        <v>17</v>
      </c>
      <c r="F623" s="3">
        <v>18.620999999999999</v>
      </c>
      <c r="G623" s="3">
        <f t="shared" ref="G623" si="55">F623/F624</f>
        <v>0.9033181333074608</v>
      </c>
      <c r="H623" s="308">
        <f t="shared" ref="H623" si="56">(G623-0.94)/0.52</f>
        <v>-7.0542051331806049E-2</v>
      </c>
      <c r="I623" s="72" t="s">
        <v>120</v>
      </c>
    </row>
    <row r="624" spans="1:9">
      <c r="A624" s="3"/>
      <c r="B624" s="3"/>
      <c r="C624" s="3"/>
      <c r="D624" s="3" t="s">
        <v>231</v>
      </c>
      <c r="E624" s="3" t="s">
        <v>19</v>
      </c>
      <c r="F624" s="3">
        <v>20.614000000000001</v>
      </c>
      <c r="G624" s="3"/>
      <c r="H624" s="308"/>
    </row>
    <row r="625" spans="1:14">
      <c r="A625" s="3" t="s">
        <v>698</v>
      </c>
      <c r="B625" s="3" t="s">
        <v>700</v>
      </c>
      <c r="C625" s="3" t="s">
        <v>45</v>
      </c>
      <c r="D625" s="3" t="s">
        <v>27</v>
      </c>
      <c r="E625" s="3" t="s">
        <v>17</v>
      </c>
      <c r="F625" s="3">
        <v>23.231999999999999</v>
      </c>
      <c r="G625" s="3">
        <f t="shared" ref="G625" si="57">F625/F626</f>
        <v>0.75318528124493433</v>
      </c>
      <c r="H625" s="308">
        <f t="shared" ref="H625" si="58">(G625-0.94)/0.52</f>
        <v>-0.35925907452897232</v>
      </c>
      <c r="I625" s="72" t="s">
        <v>232</v>
      </c>
    </row>
    <row r="626" spans="1:14">
      <c r="A626" s="7"/>
      <c r="B626" s="7"/>
      <c r="C626" s="7"/>
      <c r="D626" s="3" t="s">
        <v>27</v>
      </c>
      <c r="E626" s="3" t="s">
        <v>19</v>
      </c>
      <c r="F626" s="3">
        <v>30.844999999999999</v>
      </c>
      <c r="G626" s="3"/>
      <c r="H626" s="308"/>
    </row>
    <row r="630" spans="1:14" s="126" customFormat="1"/>
    <row r="631" spans="1:14">
      <c r="A631" s="3" t="s">
        <v>701</v>
      </c>
      <c r="B631" s="3" t="s">
        <v>702</v>
      </c>
      <c r="C631" s="3" t="s">
        <v>15</v>
      </c>
      <c r="D631" s="3" t="s">
        <v>180</v>
      </c>
      <c r="E631" s="3" t="s">
        <v>17</v>
      </c>
      <c r="F631" s="3">
        <v>18.206</v>
      </c>
      <c r="G631" s="3">
        <f t="shared" ref="G631" si="59">F631/F632</f>
        <v>0.91496632827419844</v>
      </c>
      <c r="H631" s="308">
        <f t="shared" ref="H631" si="60">(G631-0.94)/0.52</f>
        <v>-4.8141676395772132E-2</v>
      </c>
      <c r="I631" s="72" t="s">
        <v>120</v>
      </c>
    </row>
    <row r="632" spans="1:14">
      <c r="A632" s="3"/>
      <c r="B632" s="3"/>
      <c r="C632" s="3"/>
      <c r="D632" s="3" t="s">
        <v>180</v>
      </c>
      <c r="E632" s="3" t="s">
        <v>19</v>
      </c>
      <c r="F632" s="3">
        <v>19.898</v>
      </c>
      <c r="G632" s="3"/>
      <c r="H632" s="308"/>
    </row>
    <row r="633" spans="1:14">
      <c r="A633" s="3" t="s">
        <v>701</v>
      </c>
      <c r="B633" s="3" t="s">
        <v>703</v>
      </c>
      <c r="C633" s="3" t="s">
        <v>15</v>
      </c>
      <c r="D633" s="3" t="s">
        <v>281</v>
      </c>
      <c r="E633" s="3" t="s">
        <v>17</v>
      </c>
      <c r="F633" s="3">
        <v>17.677</v>
      </c>
      <c r="G633" s="3">
        <f t="shared" ref="G633" si="61">F633/F634</f>
        <v>0.70049534376857536</v>
      </c>
      <c r="H633" s="308">
        <f t="shared" ref="H633" si="62">(G633-0.94)/0.52</f>
        <v>-0.46058587736812417</v>
      </c>
      <c r="I633" s="72" t="s">
        <v>120</v>
      </c>
    </row>
    <row r="634" spans="1:14">
      <c r="A634" s="3"/>
      <c r="B634" s="3"/>
      <c r="C634" s="3"/>
      <c r="D634" s="3" t="s">
        <v>281</v>
      </c>
      <c r="E634" s="3" t="s">
        <v>19</v>
      </c>
      <c r="F634" s="3">
        <v>25.234999999999999</v>
      </c>
      <c r="G634" s="3"/>
      <c r="H634" s="308"/>
    </row>
    <row r="635" spans="1:14">
      <c r="A635" s="3" t="s">
        <v>701</v>
      </c>
      <c r="B635" s="3" t="s">
        <v>704</v>
      </c>
      <c r="C635" s="3" t="s">
        <v>21</v>
      </c>
      <c r="D635" s="3" t="s">
        <v>242</v>
      </c>
      <c r="E635" s="3" t="s">
        <v>17</v>
      </c>
      <c r="F635" s="3">
        <v>17.108000000000001</v>
      </c>
      <c r="G635" s="3">
        <f t="shared" ref="G635" si="63">F635/F636</f>
        <v>0.68527939114760672</v>
      </c>
      <c r="H635" s="308">
        <f t="shared" ref="H635" si="64">(G635-0.94)/0.52</f>
        <v>-0.48984732471614079</v>
      </c>
      <c r="I635" s="72" t="s">
        <v>120</v>
      </c>
      <c r="K635" s="169" t="s">
        <v>705</v>
      </c>
      <c r="L635" s="169" t="s">
        <v>701</v>
      </c>
      <c r="M635" s="165">
        <v>45056</v>
      </c>
      <c r="N635" s="181" t="s">
        <v>24</v>
      </c>
    </row>
    <row r="636" spans="1:14">
      <c r="A636" s="3"/>
      <c r="B636" s="3"/>
      <c r="C636" s="3"/>
      <c r="D636" s="3" t="s">
        <v>242</v>
      </c>
      <c r="E636" s="3" t="s">
        <v>19</v>
      </c>
      <c r="F636" s="3">
        <v>24.965</v>
      </c>
      <c r="G636" s="3"/>
      <c r="H636" s="308"/>
    </row>
    <row r="637" spans="1:14">
      <c r="A637" s="3" t="s">
        <v>701</v>
      </c>
      <c r="B637" s="3" t="s">
        <v>706</v>
      </c>
      <c r="C637" s="3" t="s">
        <v>45</v>
      </c>
      <c r="D637" s="3" t="s">
        <v>299</v>
      </c>
      <c r="E637" s="3" t="s">
        <v>17</v>
      </c>
      <c r="F637" s="3">
        <v>17.402999999999999</v>
      </c>
      <c r="G637" s="3">
        <f t="shared" ref="G637" si="65">F637/F638</f>
        <v>0.6061439866253352</v>
      </c>
      <c r="H637" s="308">
        <f t="shared" ref="H637" si="66">(G637-0.94)/0.52</f>
        <v>-0.64203079495127835</v>
      </c>
      <c r="I637" s="72" t="s">
        <v>120</v>
      </c>
    </row>
    <row r="638" spans="1:14">
      <c r="A638" s="3"/>
      <c r="B638" s="3"/>
      <c r="C638" s="3"/>
      <c r="D638" s="3" t="s">
        <v>299</v>
      </c>
      <c r="E638" s="3" t="s">
        <v>19</v>
      </c>
      <c r="F638" s="3">
        <v>28.710999999999999</v>
      </c>
      <c r="G638" s="3"/>
      <c r="H638" s="308"/>
    </row>
    <row r="640" spans="1:14">
      <c r="A640" s="3" t="s">
        <v>707</v>
      </c>
      <c r="B640" s="3" t="s">
        <v>708</v>
      </c>
      <c r="C640" s="3" t="s">
        <v>15</v>
      </c>
      <c r="D640" s="4" t="s">
        <v>231</v>
      </c>
      <c r="E640" s="4" t="s">
        <v>17</v>
      </c>
      <c r="F640" s="4">
        <v>17.18</v>
      </c>
      <c r="G640" s="3">
        <f t="shared" ref="G640:G642" si="67">F640/F641</f>
        <v>0.84252856652444708</v>
      </c>
      <c r="H640" s="189">
        <f t="shared" ref="H640:H642" si="68">(G640-0.94)/0.52</f>
        <v>-0.1874450643760632</v>
      </c>
      <c r="I640" s="72" t="s">
        <v>709</v>
      </c>
    </row>
    <row r="641" spans="1:9">
      <c r="A641" s="4"/>
      <c r="B641" s="4"/>
      <c r="C641" s="4"/>
      <c r="D641" s="4" t="s">
        <v>231</v>
      </c>
      <c r="E641" s="4" t="s">
        <v>19</v>
      </c>
      <c r="F641" s="4">
        <v>20.390999999999998</v>
      </c>
      <c r="G641" s="3"/>
      <c r="H641" s="189"/>
    </row>
    <row r="642" spans="1:9">
      <c r="A642" s="323" t="s">
        <v>707</v>
      </c>
      <c r="B642" s="323" t="s">
        <v>710</v>
      </c>
      <c r="C642" s="323" t="s">
        <v>45</v>
      </c>
      <c r="D642" s="338" t="s">
        <v>180</v>
      </c>
      <c r="E642" s="338" t="s">
        <v>17</v>
      </c>
      <c r="F642" s="338" t="s">
        <v>522</v>
      </c>
      <c r="G642" s="323" t="e">
        <f t="shared" si="67"/>
        <v>#VALUE!</v>
      </c>
      <c r="H642" s="337" t="e">
        <f t="shared" si="68"/>
        <v>#VALUE!</v>
      </c>
      <c r="I642" s="72" t="s">
        <v>709</v>
      </c>
    </row>
    <row r="643" spans="1:9">
      <c r="A643" s="338"/>
      <c r="B643" s="338"/>
      <c r="C643" s="338"/>
      <c r="D643" s="338" t="s">
        <v>180</v>
      </c>
      <c r="E643" s="338" t="s">
        <v>19</v>
      </c>
      <c r="F643" s="338">
        <v>33.246000000000002</v>
      </c>
      <c r="G643" s="323"/>
      <c r="H643" s="337"/>
    </row>
    <row r="644" spans="1:9">
      <c r="A644" s="3" t="s">
        <v>707</v>
      </c>
      <c r="B644" s="3" t="s">
        <v>711</v>
      </c>
      <c r="C644" s="3" t="s">
        <v>21</v>
      </c>
      <c r="D644" s="4" t="s">
        <v>281</v>
      </c>
      <c r="E644" s="4" t="s">
        <v>17</v>
      </c>
      <c r="F644" s="4">
        <v>16.428999999999998</v>
      </c>
      <c r="G644" s="3">
        <f t="shared" ref="G644" si="69">F644/F645</f>
        <v>0.66038266741699492</v>
      </c>
      <c r="H644" s="189">
        <f t="shared" ref="H644" si="70">(G644-0.94)/0.52</f>
        <v>-0.53772563958270192</v>
      </c>
      <c r="I644" s="72" t="s">
        <v>709</v>
      </c>
    </row>
    <row r="645" spans="1:9">
      <c r="A645" s="4"/>
      <c r="B645" s="4"/>
      <c r="C645" s="4"/>
      <c r="D645" s="4" t="s">
        <v>281</v>
      </c>
      <c r="E645" s="4" t="s">
        <v>19</v>
      </c>
      <c r="F645" s="4">
        <v>24.878</v>
      </c>
      <c r="G645" s="3"/>
      <c r="H645" s="189"/>
    </row>
    <row r="646" spans="1:9">
      <c r="A646" s="3" t="s">
        <v>707</v>
      </c>
      <c r="B646" s="3" t="s">
        <v>712</v>
      </c>
      <c r="C646" s="3" t="s">
        <v>45</v>
      </c>
      <c r="D646" s="4" t="s">
        <v>242</v>
      </c>
      <c r="E646" s="4" t="s">
        <v>17</v>
      </c>
      <c r="F646" s="4">
        <v>17.451000000000001</v>
      </c>
      <c r="G646" s="3">
        <f t="shared" ref="G646" si="71">F646/F647</f>
        <v>0.64418604651162792</v>
      </c>
      <c r="H646" s="189">
        <f t="shared" ref="H646" si="72">(G646-0.94)/0.52</f>
        <v>-0.56887298747763848</v>
      </c>
      <c r="I646" s="72" t="s">
        <v>709</v>
      </c>
    </row>
    <row r="647" spans="1:9">
      <c r="A647" s="4"/>
      <c r="B647" s="4"/>
      <c r="C647" s="4"/>
      <c r="D647" s="4" t="s">
        <v>242</v>
      </c>
      <c r="E647" s="4" t="s">
        <v>19</v>
      </c>
      <c r="F647" s="4">
        <v>27.09</v>
      </c>
      <c r="G647" s="3"/>
      <c r="H647" s="189"/>
    </row>
    <row r="651" spans="1:9" s="126" customFormat="1"/>
    <row r="657" spans="1:14">
      <c r="A657" s="3" t="s">
        <v>713</v>
      </c>
      <c r="B657" s="3" t="s">
        <v>714</v>
      </c>
      <c r="C657" s="3" t="s">
        <v>15</v>
      </c>
      <c r="D657" s="4" t="s">
        <v>55</v>
      </c>
      <c r="E657" s="4" t="s">
        <v>17</v>
      </c>
      <c r="F657" s="4">
        <v>16.317</v>
      </c>
      <c r="G657" s="3">
        <f>F657/F658</f>
        <v>0.76034482758620692</v>
      </c>
      <c r="H657" s="189">
        <f t="shared" ref="H657:H663" si="73">(G657-0.94)/0.52</f>
        <v>-0.34549071618037119</v>
      </c>
      <c r="I657" s="72" t="s">
        <v>709</v>
      </c>
    </row>
    <row r="658" spans="1:14">
      <c r="A658" s="4"/>
      <c r="B658" s="4"/>
      <c r="C658" s="4"/>
      <c r="D658" s="4" t="s">
        <v>55</v>
      </c>
      <c r="E658" s="4" t="s">
        <v>19</v>
      </c>
      <c r="F658" s="4">
        <v>21.46</v>
      </c>
      <c r="G658" s="3"/>
      <c r="H658" s="189"/>
    </row>
    <row r="659" spans="1:14">
      <c r="A659" s="3" t="s">
        <v>713</v>
      </c>
      <c r="B659" s="3" t="s">
        <v>715</v>
      </c>
      <c r="C659" s="3" t="s">
        <v>45</v>
      </c>
      <c r="D659" s="4" t="s">
        <v>182</v>
      </c>
      <c r="E659" s="4" t="s">
        <v>17</v>
      </c>
      <c r="F659" s="4">
        <v>16.745000000000001</v>
      </c>
      <c r="G659" s="3">
        <f>F659/F660</f>
        <v>0.64587672606649704</v>
      </c>
      <c r="H659" s="189">
        <f t="shared" si="73"/>
        <v>-0.56562168064135177</v>
      </c>
      <c r="I659" s="72" t="s">
        <v>709</v>
      </c>
    </row>
    <row r="660" spans="1:14">
      <c r="A660" s="4"/>
      <c r="B660" s="4"/>
      <c r="C660" s="4"/>
      <c r="D660" s="4" t="s">
        <v>182</v>
      </c>
      <c r="E660" s="4" t="s">
        <v>19</v>
      </c>
      <c r="F660" s="4">
        <v>25.925999999999998</v>
      </c>
      <c r="G660" s="3"/>
      <c r="H660" s="189"/>
    </row>
    <row r="661" spans="1:14">
      <c r="A661" s="3" t="s">
        <v>713</v>
      </c>
      <c r="B661" s="3" t="s">
        <v>716</v>
      </c>
      <c r="C661" s="3" t="s">
        <v>21</v>
      </c>
      <c r="D661" s="4" t="s">
        <v>185</v>
      </c>
      <c r="E661" s="4" t="s">
        <v>17</v>
      </c>
      <c r="F661" s="4">
        <v>15.298</v>
      </c>
      <c r="G661" s="3">
        <f>F661/F662</f>
        <v>0.55068394528437725</v>
      </c>
      <c r="H661" s="189">
        <f t="shared" si="73"/>
        <v>-0.74868472060696667</v>
      </c>
      <c r="I661" s="72" t="s">
        <v>709</v>
      </c>
    </row>
    <row r="662" spans="1:14">
      <c r="A662" s="4"/>
      <c r="B662" s="4"/>
      <c r="C662" s="4"/>
      <c r="D662" s="4" t="s">
        <v>185</v>
      </c>
      <c r="E662" s="4" t="s">
        <v>19</v>
      </c>
      <c r="F662" s="4">
        <v>27.78</v>
      </c>
      <c r="G662" s="3"/>
      <c r="H662" s="189"/>
    </row>
    <row r="663" spans="1:14">
      <c r="A663" s="3" t="s">
        <v>713</v>
      </c>
      <c r="B663" s="3" t="s">
        <v>717</v>
      </c>
      <c r="C663" s="3" t="s">
        <v>45</v>
      </c>
      <c r="D663" s="4" t="s">
        <v>100</v>
      </c>
      <c r="E663" s="4" t="s">
        <v>17</v>
      </c>
      <c r="F663" s="4">
        <v>17.085000000000001</v>
      </c>
      <c r="G663" s="3">
        <f>F663/F664</f>
        <v>0.6698949184441656</v>
      </c>
      <c r="H663" s="189">
        <f t="shared" si="73"/>
        <v>-0.51943284914583532</v>
      </c>
      <c r="I663" s="72" t="s">
        <v>709</v>
      </c>
      <c r="K663" s="169" t="s">
        <v>718</v>
      </c>
      <c r="L663" s="169" t="s">
        <v>713</v>
      </c>
      <c r="M663" s="165">
        <v>45056</v>
      </c>
      <c r="N663" s="181" t="s">
        <v>24</v>
      </c>
    </row>
    <row r="664" spans="1:14">
      <c r="A664" s="4"/>
      <c r="B664" s="4"/>
      <c r="C664" s="4"/>
      <c r="D664" s="4" t="s">
        <v>100</v>
      </c>
      <c r="E664" s="4" t="s">
        <v>19</v>
      </c>
      <c r="F664" s="4">
        <v>25.504000000000001</v>
      </c>
      <c r="G664" s="3"/>
      <c r="H664" s="189"/>
    </row>
    <row r="665" spans="1:14" s="126" customFormat="1"/>
    <row r="666" spans="1:14">
      <c r="A666" s="3" t="s">
        <v>719</v>
      </c>
      <c r="B666" s="3" t="s">
        <v>363</v>
      </c>
      <c r="C666" s="3" t="s">
        <v>38</v>
      </c>
      <c r="D666" s="3" t="s">
        <v>182</v>
      </c>
      <c r="E666" s="3" t="s">
        <v>17</v>
      </c>
      <c r="F666" s="3">
        <v>18.132000000000001</v>
      </c>
      <c r="G666" s="3">
        <f t="shared" ref="G666" si="74">F666/F667</f>
        <v>0.78466332006231609</v>
      </c>
      <c r="H666" s="308">
        <f t="shared" ref="H666" si="75">(G666-0.94)/0.52</f>
        <v>-0.29872438449554584</v>
      </c>
      <c r="I666" s="72" t="s">
        <v>101</v>
      </c>
    </row>
    <row r="667" spans="1:14">
      <c r="A667" s="3"/>
      <c r="B667" s="3"/>
      <c r="C667" s="3"/>
      <c r="D667" s="3" t="s">
        <v>182</v>
      </c>
      <c r="E667" s="3" t="s">
        <v>19</v>
      </c>
      <c r="F667" s="3">
        <v>23.108000000000001</v>
      </c>
      <c r="G667" s="3"/>
      <c r="H667" s="308"/>
    </row>
    <row r="668" spans="1:14">
      <c r="A668" s="3" t="s">
        <v>719</v>
      </c>
      <c r="B668" s="3" t="s">
        <v>373</v>
      </c>
      <c r="C668" s="3" t="s">
        <v>21</v>
      </c>
      <c r="D668" s="3" t="s">
        <v>68</v>
      </c>
      <c r="E668" s="3" t="s">
        <v>17</v>
      </c>
      <c r="F668" s="3">
        <v>17.355</v>
      </c>
      <c r="G668" s="3">
        <f>F668/F669</f>
        <v>0.97177893499076085</v>
      </c>
      <c r="H668" s="308">
        <f>(G668-0.94)/0.52</f>
        <v>6.1113336520694034E-2</v>
      </c>
      <c r="I668" s="72" t="s">
        <v>232</v>
      </c>
    </row>
    <row r="669" spans="1:14">
      <c r="A669" s="7"/>
      <c r="B669" s="7"/>
      <c r="C669" s="7"/>
      <c r="D669" s="3" t="s">
        <v>68</v>
      </c>
      <c r="E669" s="3" t="s">
        <v>19</v>
      </c>
      <c r="F669" s="3">
        <v>17.859000000000002</v>
      </c>
      <c r="G669" s="3"/>
      <c r="H669" s="308"/>
    </row>
    <row r="670" spans="1:14">
      <c r="A670" s="3" t="s">
        <v>719</v>
      </c>
      <c r="B670" s="3" t="s">
        <v>376</v>
      </c>
      <c r="C670" s="3" t="s">
        <v>45</v>
      </c>
      <c r="D670" s="3" t="s">
        <v>71</v>
      </c>
      <c r="E670" s="3" t="s">
        <v>17</v>
      </c>
      <c r="F670" s="3">
        <v>24.678000000000001</v>
      </c>
      <c r="G670" s="3">
        <f t="shared" ref="G670" si="76">F670/F671</f>
        <v>1.5157545605306801</v>
      </c>
      <c r="H670" s="308">
        <f t="shared" ref="H670" si="77">(G670-0.94)/0.52</f>
        <v>1.1072203087128465</v>
      </c>
      <c r="I670" s="72" t="s">
        <v>232</v>
      </c>
    </row>
    <row r="671" spans="1:14">
      <c r="A671" s="7"/>
      <c r="B671" s="7"/>
      <c r="C671" s="7"/>
      <c r="D671" s="3" t="s">
        <v>71</v>
      </c>
      <c r="E671" s="3" t="s">
        <v>19</v>
      </c>
      <c r="F671" s="3">
        <v>16.280999999999999</v>
      </c>
      <c r="G671" s="3"/>
      <c r="H671" s="308"/>
    </row>
    <row r="679" spans="1:14" s="126" customFormat="1"/>
    <row r="680" spans="1:14">
      <c r="A680" s="68" t="s">
        <v>720</v>
      </c>
      <c r="B680" s="66" t="s">
        <v>442</v>
      </c>
      <c r="C680" s="66" t="s">
        <v>38</v>
      </c>
      <c r="D680" s="66" t="s">
        <v>68</v>
      </c>
      <c r="E680" s="66" t="s">
        <v>17</v>
      </c>
      <c r="F680" s="66">
        <v>17.72</v>
      </c>
      <c r="G680" s="66">
        <v>0.840567336</v>
      </c>
      <c r="H680" s="339">
        <v>-0.191</v>
      </c>
      <c r="I680" s="72" t="s">
        <v>147</v>
      </c>
    </row>
    <row r="681" spans="1:14">
      <c r="A681" s="70" t="s">
        <v>29</v>
      </c>
      <c r="B681" s="65" t="s">
        <v>29</v>
      </c>
      <c r="C681" s="65" t="s">
        <v>29</v>
      </c>
      <c r="D681" s="65" t="s">
        <v>68</v>
      </c>
      <c r="E681" s="65" t="s">
        <v>19</v>
      </c>
      <c r="F681" s="65">
        <v>21.081</v>
      </c>
      <c r="G681" s="65" t="s">
        <v>29</v>
      </c>
      <c r="H681" s="65" t="s">
        <v>29</v>
      </c>
    </row>
    <row r="682" spans="1:14">
      <c r="A682" s="70" t="s">
        <v>720</v>
      </c>
      <c r="B682" s="65" t="s">
        <v>721</v>
      </c>
      <c r="C682" s="65" t="s">
        <v>45</v>
      </c>
      <c r="D682" s="65" t="s">
        <v>71</v>
      </c>
      <c r="E682" s="65" t="s">
        <v>17</v>
      </c>
      <c r="F682" s="65">
        <v>17.943999999999999</v>
      </c>
      <c r="G682" s="65">
        <v>0.63203127800000003</v>
      </c>
      <c r="H682" s="340">
        <v>-0.59199999999999997</v>
      </c>
      <c r="I682" s="72" t="s">
        <v>147</v>
      </c>
    </row>
    <row r="683" spans="1:14">
      <c r="A683" s="70" t="s">
        <v>29</v>
      </c>
      <c r="B683" s="65" t="s">
        <v>29</v>
      </c>
      <c r="C683" s="65" t="s">
        <v>29</v>
      </c>
      <c r="D683" s="65" t="s">
        <v>71</v>
      </c>
      <c r="E683" s="65" t="s">
        <v>19</v>
      </c>
      <c r="F683" s="65">
        <v>28.390999999999998</v>
      </c>
      <c r="G683" s="65" t="s">
        <v>29</v>
      </c>
      <c r="H683" s="65" t="s">
        <v>29</v>
      </c>
    </row>
    <row r="684" spans="1:14">
      <c r="A684" s="70" t="s">
        <v>720</v>
      </c>
      <c r="B684" s="65" t="s">
        <v>443</v>
      </c>
      <c r="C684" s="65" t="s">
        <v>21</v>
      </c>
      <c r="D684" s="65" t="s">
        <v>74</v>
      </c>
      <c r="E684" s="65" t="s">
        <v>17</v>
      </c>
      <c r="F684" s="65">
        <v>18.04</v>
      </c>
      <c r="G684" s="65">
        <v>0.62318640300000006</v>
      </c>
      <c r="H684" s="340">
        <v>-0.60899999999999999</v>
      </c>
      <c r="I684" s="72" t="s">
        <v>147</v>
      </c>
    </row>
    <row r="685" spans="1:14">
      <c r="A685" s="70" t="s">
        <v>29</v>
      </c>
      <c r="B685" s="65" t="s">
        <v>29</v>
      </c>
      <c r="C685" s="65" t="s">
        <v>29</v>
      </c>
      <c r="D685" s="65" t="s">
        <v>74</v>
      </c>
      <c r="E685" s="65" t="s">
        <v>19</v>
      </c>
      <c r="F685" s="65">
        <v>28.948</v>
      </c>
      <c r="G685" s="65" t="s">
        <v>29</v>
      </c>
      <c r="H685" s="65" t="s">
        <v>29</v>
      </c>
    </row>
    <row r="686" spans="1:14">
      <c r="A686" s="70" t="s">
        <v>720</v>
      </c>
      <c r="B686" s="65" t="s">
        <v>445</v>
      </c>
      <c r="C686" s="65" t="s">
        <v>45</v>
      </c>
      <c r="D686" s="65" t="s">
        <v>81</v>
      </c>
      <c r="E686" s="65" t="s">
        <v>17</v>
      </c>
      <c r="F686" s="65">
        <v>19.158999999999999</v>
      </c>
      <c r="G686" s="65">
        <v>0.69081272100000002</v>
      </c>
      <c r="H686" s="340">
        <v>-0.47899999999999998</v>
      </c>
      <c r="I686" s="72" t="s">
        <v>147</v>
      </c>
      <c r="K686" s="169" t="s">
        <v>652</v>
      </c>
      <c r="L686" s="169" t="s">
        <v>720</v>
      </c>
      <c r="M686" s="165">
        <v>45056</v>
      </c>
      <c r="N686" s="181" t="s">
        <v>24</v>
      </c>
    </row>
    <row r="687" spans="1:14">
      <c r="A687" s="70" t="s">
        <v>29</v>
      </c>
      <c r="B687" s="65" t="s">
        <v>29</v>
      </c>
      <c r="C687" s="65" t="s">
        <v>29</v>
      </c>
      <c r="D687" s="65" t="s">
        <v>81</v>
      </c>
      <c r="E687" s="65" t="s">
        <v>19</v>
      </c>
      <c r="F687" s="65">
        <v>27.734000000000002</v>
      </c>
      <c r="G687" s="65" t="s">
        <v>29</v>
      </c>
      <c r="H687" s="65" t="s">
        <v>29</v>
      </c>
    </row>
    <row r="693" spans="1:9" s="126" customFormat="1"/>
    <row r="694" spans="1:9">
      <c r="A694" s="3" t="s">
        <v>722</v>
      </c>
      <c r="B694" s="3" t="s">
        <v>640</v>
      </c>
      <c r="C694" s="3" t="s">
        <v>15</v>
      </c>
      <c r="D694" s="4" t="s">
        <v>105</v>
      </c>
      <c r="E694" s="4" t="s">
        <v>17</v>
      </c>
      <c r="F694" s="4">
        <v>16.16</v>
      </c>
      <c r="G694" s="3">
        <f t="shared" ref="G694:G700" si="78">F694/F695</f>
        <v>0.73344528661553121</v>
      </c>
      <c r="H694" s="189">
        <f t="shared" ref="H694:H700" si="79">(G694-0.94)/0.52</f>
        <v>-0.39722060266243986</v>
      </c>
      <c r="I694" s="72" t="s">
        <v>709</v>
      </c>
    </row>
    <row r="695" spans="1:9">
      <c r="A695" s="4"/>
      <c r="B695" s="4"/>
      <c r="C695" s="4"/>
      <c r="D695" s="4" t="s">
        <v>105</v>
      </c>
      <c r="E695" s="4" t="s">
        <v>19</v>
      </c>
      <c r="F695" s="4">
        <v>22.033000000000001</v>
      </c>
      <c r="G695" s="3"/>
      <c r="H695" s="189"/>
    </row>
    <row r="696" spans="1:9">
      <c r="A696" s="3" t="s">
        <v>722</v>
      </c>
      <c r="B696" s="3" t="s">
        <v>642</v>
      </c>
      <c r="C696" s="3" t="s">
        <v>45</v>
      </c>
      <c r="D696" s="4" t="s">
        <v>59</v>
      </c>
      <c r="E696" s="4" t="s">
        <v>17</v>
      </c>
      <c r="F696" s="4">
        <v>16.282</v>
      </c>
      <c r="G696" s="3">
        <f t="shared" si="78"/>
        <v>0.58642175400684315</v>
      </c>
      <c r="H696" s="189">
        <f t="shared" si="79"/>
        <v>-0.67995816537145537</v>
      </c>
      <c r="I696" s="72" t="s">
        <v>709</v>
      </c>
    </row>
    <row r="697" spans="1:9">
      <c r="A697" s="4"/>
      <c r="B697" s="4"/>
      <c r="C697" s="4"/>
      <c r="D697" s="4" t="s">
        <v>59</v>
      </c>
      <c r="E697" s="4" t="s">
        <v>19</v>
      </c>
      <c r="F697" s="4">
        <v>27.765000000000001</v>
      </c>
      <c r="G697" s="3"/>
      <c r="H697" s="189"/>
    </row>
    <row r="698" spans="1:9">
      <c r="A698" s="3" t="s">
        <v>722</v>
      </c>
      <c r="B698" s="3" t="s">
        <v>643</v>
      </c>
      <c r="C698" s="3" t="s">
        <v>21</v>
      </c>
      <c r="D698" s="4" t="s">
        <v>49</v>
      </c>
      <c r="E698" s="4" t="s">
        <v>17</v>
      </c>
      <c r="F698" s="4">
        <v>17.332999999999998</v>
      </c>
      <c r="G698" s="3">
        <f t="shared" si="78"/>
        <v>0.60269828575402473</v>
      </c>
      <c r="H698" s="189">
        <f t="shared" si="79"/>
        <v>-0.64865714278072151</v>
      </c>
      <c r="I698" s="72" t="s">
        <v>709</v>
      </c>
    </row>
    <row r="699" spans="1:9">
      <c r="A699" s="4"/>
      <c r="B699" s="4"/>
      <c r="C699" s="4"/>
      <c r="D699" s="4" t="s">
        <v>49</v>
      </c>
      <c r="E699" s="4" t="s">
        <v>19</v>
      </c>
      <c r="F699" s="4">
        <v>28.759</v>
      </c>
      <c r="G699" s="3"/>
      <c r="H699" s="189"/>
    </row>
    <row r="700" spans="1:9">
      <c r="A700" s="3" t="s">
        <v>722</v>
      </c>
      <c r="B700" s="3" t="s">
        <v>645</v>
      </c>
      <c r="C700" s="3" t="s">
        <v>45</v>
      </c>
      <c r="D700" s="4" t="s">
        <v>52</v>
      </c>
      <c r="E700" s="4" t="s">
        <v>17</v>
      </c>
      <c r="F700" s="4">
        <v>15.707000000000001</v>
      </c>
      <c r="G700" s="3">
        <f t="shared" si="78"/>
        <v>0.85746260508789163</v>
      </c>
      <c r="H700" s="189">
        <f t="shared" si="79"/>
        <v>-0.15872575944636214</v>
      </c>
      <c r="I700" s="72" t="s">
        <v>709</v>
      </c>
    </row>
    <row r="701" spans="1:9">
      <c r="A701" s="4"/>
      <c r="B701" s="4"/>
      <c r="C701" s="4"/>
      <c r="D701" s="4" t="s">
        <v>52</v>
      </c>
      <c r="E701" s="4" t="s">
        <v>19</v>
      </c>
      <c r="F701" s="4">
        <v>18.318000000000001</v>
      </c>
      <c r="G701" s="3"/>
      <c r="H701" s="189"/>
    </row>
    <row r="709" spans="1:14" s="126" customFormat="1"/>
    <row r="710" spans="1:14">
      <c r="A710" s="3" t="s">
        <v>723</v>
      </c>
      <c r="B710" s="3" t="s">
        <v>724</v>
      </c>
      <c r="C710" s="3" t="s">
        <v>15</v>
      </c>
      <c r="D710" s="4" t="s">
        <v>173</v>
      </c>
      <c r="E710" s="4" t="s">
        <v>17</v>
      </c>
      <c r="F710" s="4">
        <v>16.423999999999999</v>
      </c>
      <c r="G710" s="3">
        <f t="shared" ref="G710:G714" si="80">F710/F711</f>
        <v>0.735413961402409</v>
      </c>
      <c r="H710" s="189">
        <f t="shared" ref="H710:H714" si="81">(G710-0.94)/0.52</f>
        <v>-0.39343468961075179</v>
      </c>
      <c r="I710" s="72" t="s">
        <v>709</v>
      </c>
    </row>
    <row r="711" spans="1:14">
      <c r="A711" s="4"/>
      <c r="B711" s="4"/>
      <c r="C711" s="4"/>
      <c r="D711" s="4" t="s">
        <v>173</v>
      </c>
      <c r="E711" s="4" t="s">
        <v>19</v>
      </c>
      <c r="F711" s="4">
        <v>22.332999999999998</v>
      </c>
      <c r="G711" s="3"/>
      <c r="H711" s="189"/>
    </row>
    <row r="712" spans="1:14">
      <c r="A712" s="3" t="s">
        <v>723</v>
      </c>
      <c r="B712" s="3" t="s">
        <v>725</v>
      </c>
      <c r="C712" s="3" t="s">
        <v>45</v>
      </c>
      <c r="D712" s="4" t="s">
        <v>39</v>
      </c>
      <c r="E712" s="4" t="s">
        <v>17</v>
      </c>
      <c r="F712" s="4">
        <v>16.254999999999999</v>
      </c>
      <c r="G712" s="3">
        <f t="shared" si="80"/>
        <v>0.59935105637697728</v>
      </c>
      <c r="H712" s="189">
        <f t="shared" si="81"/>
        <v>-0.65509412235196662</v>
      </c>
      <c r="I712" s="72" t="s">
        <v>709</v>
      </c>
    </row>
    <row r="713" spans="1:14">
      <c r="A713" s="4"/>
      <c r="B713" s="4"/>
      <c r="C713" s="4"/>
      <c r="D713" s="4" t="s">
        <v>39</v>
      </c>
      <c r="E713" s="4" t="s">
        <v>19</v>
      </c>
      <c r="F713" s="4">
        <v>27.120999999999999</v>
      </c>
      <c r="G713" s="3"/>
      <c r="H713" s="189"/>
    </row>
    <row r="714" spans="1:14" ht="51">
      <c r="A714" s="3" t="s">
        <v>723</v>
      </c>
      <c r="B714" s="3" t="s">
        <v>726</v>
      </c>
      <c r="C714" s="3" t="s">
        <v>21</v>
      </c>
      <c r="D714" s="4" t="s">
        <v>42</v>
      </c>
      <c r="E714" s="4" t="s">
        <v>17</v>
      </c>
      <c r="F714" s="4">
        <v>17.463999999999999</v>
      </c>
      <c r="G714" s="3">
        <f t="shared" si="80"/>
        <v>0.67871439120127464</v>
      </c>
      <c r="H714" s="189">
        <f t="shared" si="81"/>
        <v>-0.50247232461293323</v>
      </c>
      <c r="I714" s="72" t="s">
        <v>709</v>
      </c>
      <c r="K714" s="168" t="s">
        <v>727</v>
      </c>
      <c r="L714" s="89" t="s">
        <v>723</v>
      </c>
      <c r="M714" s="165">
        <v>45056</v>
      </c>
      <c r="N714" s="89" t="s">
        <v>24</v>
      </c>
    </row>
    <row r="715" spans="1:14">
      <c r="A715" s="4"/>
      <c r="B715" s="4"/>
      <c r="C715" s="4"/>
      <c r="D715" s="4" t="s">
        <v>42</v>
      </c>
      <c r="E715" s="4" t="s">
        <v>19</v>
      </c>
      <c r="F715" s="4">
        <v>25.731000000000002</v>
      </c>
      <c r="G715" s="3"/>
      <c r="H715" s="189"/>
    </row>
    <row r="716" spans="1:14">
      <c r="A716" s="387" t="s">
        <v>728</v>
      </c>
      <c r="B716" s="391" t="s">
        <v>724</v>
      </c>
      <c r="C716" s="387" t="s">
        <v>38</v>
      </c>
      <c r="D716" s="387" t="s">
        <v>59</v>
      </c>
      <c r="E716" s="387" t="s">
        <v>17</v>
      </c>
      <c r="F716" s="387">
        <v>16.841000000000001</v>
      </c>
      <c r="G716" s="387">
        <v>0.78083271499999996</v>
      </c>
      <c r="H716" s="389">
        <v>-0.30599999999999999</v>
      </c>
      <c r="I716" s="51" t="s">
        <v>729</v>
      </c>
    </row>
    <row r="717" spans="1:14">
      <c r="A717" s="380" t="s">
        <v>29</v>
      </c>
      <c r="B717" s="379" t="s">
        <v>29</v>
      </c>
      <c r="C717" s="380" t="s">
        <v>29</v>
      </c>
      <c r="D717" s="380" t="s">
        <v>59</v>
      </c>
      <c r="E717" s="380" t="s">
        <v>19</v>
      </c>
      <c r="F717" s="380">
        <v>21.568000000000001</v>
      </c>
      <c r="G717" s="380" t="s">
        <v>29</v>
      </c>
      <c r="H717" s="380" t="s">
        <v>29</v>
      </c>
    </row>
    <row r="718" spans="1:14">
      <c r="A718" s="380" t="s">
        <v>728</v>
      </c>
      <c r="B718" s="379" t="s">
        <v>725</v>
      </c>
      <c r="C718" s="380" t="s">
        <v>45</v>
      </c>
      <c r="D718" s="380" t="s">
        <v>49</v>
      </c>
      <c r="E718" s="380" t="s">
        <v>17</v>
      </c>
      <c r="F718" s="380">
        <v>15.455</v>
      </c>
      <c r="G718" s="380">
        <v>0.54374977999999996</v>
      </c>
      <c r="H718" s="389">
        <v>-0.76200000000000001</v>
      </c>
      <c r="I718" s="51" t="s">
        <v>729</v>
      </c>
    </row>
    <row r="719" spans="1:14">
      <c r="A719" s="380" t="s">
        <v>29</v>
      </c>
      <c r="B719" s="379" t="s">
        <v>29</v>
      </c>
      <c r="C719" s="380" t="s">
        <v>29</v>
      </c>
      <c r="D719" s="380" t="s">
        <v>49</v>
      </c>
      <c r="E719" s="380" t="s">
        <v>19</v>
      </c>
      <c r="F719" s="380">
        <v>28.422999999999998</v>
      </c>
      <c r="G719" s="380" t="s">
        <v>29</v>
      </c>
      <c r="H719" s="380" t="s">
        <v>29</v>
      </c>
    </row>
    <row r="720" spans="1:14">
      <c r="A720" s="380" t="s">
        <v>728</v>
      </c>
      <c r="B720" s="379" t="s">
        <v>730</v>
      </c>
      <c r="C720" s="380" t="s">
        <v>21</v>
      </c>
      <c r="D720" s="380" t="s">
        <v>52</v>
      </c>
      <c r="E720" s="380" t="s">
        <v>17</v>
      </c>
      <c r="F720" s="380">
        <v>17.954999999999998</v>
      </c>
      <c r="G720" s="380">
        <v>0.59657108700000006</v>
      </c>
      <c r="H720" s="389">
        <v>-0.66</v>
      </c>
      <c r="I720" s="51" t="s">
        <v>729</v>
      </c>
    </row>
    <row r="721" spans="1:9">
      <c r="A721" s="380" t="s">
        <v>29</v>
      </c>
      <c r="B721" s="379" t="s">
        <v>29</v>
      </c>
      <c r="C721" s="380" t="s">
        <v>29</v>
      </c>
      <c r="D721" s="380" t="s">
        <v>52</v>
      </c>
      <c r="E721" s="380" t="s">
        <v>19</v>
      </c>
      <c r="F721" s="380">
        <v>30.097000000000001</v>
      </c>
      <c r="G721" s="380" t="s">
        <v>29</v>
      </c>
      <c r="H721" s="380" t="s">
        <v>29</v>
      </c>
    </row>
    <row r="723" spans="1:9" s="126" customFormat="1"/>
    <row r="724" spans="1:9">
      <c r="A724" s="3" t="s">
        <v>731</v>
      </c>
      <c r="B724" s="3" t="s">
        <v>732</v>
      </c>
      <c r="C724" s="3" t="s">
        <v>15</v>
      </c>
      <c r="D724" s="7" t="s">
        <v>16</v>
      </c>
      <c r="E724" s="7" t="s">
        <v>17</v>
      </c>
      <c r="F724" s="7">
        <v>19.146000000000001</v>
      </c>
      <c r="G724" s="3">
        <f t="shared" ref="G724:G728" si="82">F724/F725</f>
        <v>0.85059309609489542</v>
      </c>
      <c r="H724" s="189">
        <f t="shared" ref="H724:H728" si="83">(G724-0.94)/0.52</f>
        <v>-0.17193635366366256</v>
      </c>
      <c r="I724" s="72" t="s">
        <v>709</v>
      </c>
    </row>
    <row r="725" spans="1:9">
      <c r="A725" s="7"/>
      <c r="B725" s="7"/>
      <c r="C725" s="7"/>
      <c r="D725" s="7" t="s">
        <v>16</v>
      </c>
      <c r="E725" s="7" t="s">
        <v>19</v>
      </c>
      <c r="F725" s="7">
        <v>22.509</v>
      </c>
      <c r="G725" s="3"/>
      <c r="H725" s="189"/>
    </row>
    <row r="726" spans="1:9">
      <c r="A726" s="3" t="s">
        <v>731</v>
      </c>
      <c r="B726" s="3" t="s">
        <v>733</v>
      </c>
      <c r="C726" s="3" t="s">
        <v>45</v>
      </c>
      <c r="D726" s="7" t="s">
        <v>22</v>
      </c>
      <c r="E726" s="7" t="s">
        <v>17</v>
      </c>
      <c r="F726" s="7">
        <v>24.088000000000001</v>
      </c>
      <c r="G726" s="3">
        <f t="shared" si="82"/>
        <v>0.95488781415999369</v>
      </c>
      <c r="H726" s="189">
        <f t="shared" si="83"/>
        <v>2.8630411846141807E-2</v>
      </c>
      <c r="I726" s="72" t="s">
        <v>709</v>
      </c>
    </row>
    <row r="727" spans="1:9">
      <c r="A727" s="7"/>
      <c r="B727" s="7"/>
      <c r="C727" s="7"/>
      <c r="D727" s="7" t="s">
        <v>22</v>
      </c>
      <c r="E727" s="7" t="s">
        <v>19</v>
      </c>
      <c r="F727" s="7">
        <v>25.225999999999999</v>
      </c>
      <c r="G727" s="3"/>
      <c r="H727" s="189"/>
    </row>
    <row r="728" spans="1:9">
      <c r="A728" s="3" t="s">
        <v>731</v>
      </c>
      <c r="B728" s="3" t="s">
        <v>734</v>
      </c>
      <c r="C728" s="3" t="s">
        <v>21</v>
      </c>
      <c r="D728" s="7" t="s">
        <v>335</v>
      </c>
      <c r="E728" s="7" t="s">
        <v>17</v>
      </c>
      <c r="F728" s="7">
        <v>34.14</v>
      </c>
      <c r="G728" s="3">
        <f t="shared" si="82"/>
        <v>1.6092387461701627</v>
      </c>
      <c r="H728" s="189">
        <f t="shared" si="83"/>
        <v>1.2869975887887746</v>
      </c>
      <c r="I728" s="72" t="s">
        <v>709</v>
      </c>
    </row>
    <row r="729" spans="1:9">
      <c r="A729" s="7"/>
      <c r="B729" s="7"/>
      <c r="C729" s="7"/>
      <c r="D729" s="7" t="s">
        <v>335</v>
      </c>
      <c r="E729" s="7" t="s">
        <v>19</v>
      </c>
      <c r="F729" s="7">
        <v>21.215</v>
      </c>
      <c r="G729" s="3"/>
      <c r="H729" s="189"/>
    </row>
    <row r="737" spans="1:9" s="126" customFormat="1"/>
    <row r="738" spans="1:9">
      <c r="A738" s="3" t="s">
        <v>735</v>
      </c>
      <c r="B738" s="3" t="s">
        <v>702</v>
      </c>
      <c r="C738" s="3" t="s">
        <v>38</v>
      </c>
      <c r="D738" s="4" t="s">
        <v>59</v>
      </c>
      <c r="E738" s="4" t="s">
        <v>17</v>
      </c>
      <c r="F738" s="4">
        <v>18.905999999999999</v>
      </c>
      <c r="G738" s="3">
        <f t="shared" ref="G738:G744" si="84">F738/F739</f>
        <v>0.91386310904872392</v>
      </c>
      <c r="H738" s="189">
        <f t="shared" ref="H738:H744" si="85">(G738-0.94)/0.52</f>
        <v>-5.0263251829376972E-2</v>
      </c>
      <c r="I738" s="72" t="s">
        <v>245</v>
      </c>
    </row>
    <row r="739" spans="1:9">
      <c r="A739" s="4"/>
      <c r="B739" s="4"/>
      <c r="C739" s="4"/>
      <c r="D739" s="4" t="s">
        <v>59</v>
      </c>
      <c r="E739" s="4" t="s">
        <v>19</v>
      </c>
      <c r="F739" s="4">
        <v>20.687999999999999</v>
      </c>
      <c r="G739" s="3"/>
      <c r="H739" s="189"/>
    </row>
    <row r="740" spans="1:9">
      <c r="A740" s="3" t="s">
        <v>735</v>
      </c>
      <c r="B740" s="3" t="s">
        <v>703</v>
      </c>
      <c r="C740" s="3" t="s">
        <v>45</v>
      </c>
      <c r="D740" s="4" t="s">
        <v>49</v>
      </c>
      <c r="E740" s="4" t="s">
        <v>17</v>
      </c>
      <c r="F740" s="4">
        <v>18.099</v>
      </c>
      <c r="G740" s="3">
        <f t="shared" si="84"/>
        <v>0.69710742210068177</v>
      </c>
      <c r="H740" s="189">
        <f t="shared" si="85"/>
        <v>-0.46710111134484261</v>
      </c>
      <c r="I740" s="72" t="s">
        <v>245</v>
      </c>
    </row>
    <row r="741" spans="1:9">
      <c r="A741" s="4"/>
      <c r="B741" s="4"/>
      <c r="C741" s="4"/>
      <c r="D741" s="4" t="s">
        <v>49</v>
      </c>
      <c r="E741" s="4" t="s">
        <v>19</v>
      </c>
      <c r="F741" s="4">
        <v>25.963000000000001</v>
      </c>
      <c r="G741" s="3"/>
      <c r="H741" s="189"/>
    </row>
    <row r="742" spans="1:9">
      <c r="A742" s="3" t="s">
        <v>735</v>
      </c>
      <c r="B742" s="3" t="s">
        <v>704</v>
      </c>
      <c r="C742" s="3" t="s">
        <v>21</v>
      </c>
      <c r="D742" s="4" t="s">
        <v>52</v>
      </c>
      <c r="E742" s="4" t="s">
        <v>17</v>
      </c>
      <c r="F742" s="4">
        <v>18.146000000000001</v>
      </c>
      <c r="G742" s="3">
        <f t="shared" si="84"/>
        <v>0.64158681893717073</v>
      </c>
      <c r="H742" s="189">
        <f t="shared" si="85"/>
        <v>-0.57387150204390236</v>
      </c>
      <c r="I742" s="72" t="s">
        <v>245</v>
      </c>
    </row>
    <row r="743" spans="1:9">
      <c r="A743" s="4"/>
      <c r="B743" s="4"/>
      <c r="C743" s="4"/>
      <c r="D743" s="4" t="s">
        <v>52</v>
      </c>
      <c r="E743" s="4" t="s">
        <v>19</v>
      </c>
      <c r="F743" s="4">
        <v>28.283000000000001</v>
      </c>
      <c r="G743" s="3"/>
      <c r="H743" s="189"/>
    </row>
    <row r="744" spans="1:9">
      <c r="A744" s="3" t="s">
        <v>735</v>
      </c>
      <c r="B744" s="3" t="s">
        <v>706</v>
      </c>
      <c r="C744" s="3" t="s">
        <v>45</v>
      </c>
      <c r="D744" s="4" t="s">
        <v>55</v>
      </c>
      <c r="E744" s="4" t="s">
        <v>17</v>
      </c>
      <c r="F744" s="4">
        <v>18.789000000000001</v>
      </c>
      <c r="G744" s="3">
        <f t="shared" si="84"/>
        <v>0.61593181445664646</v>
      </c>
      <c r="H744" s="189">
        <f t="shared" si="85"/>
        <v>-0.62320804912183358</v>
      </c>
      <c r="I744" s="72" t="s">
        <v>245</v>
      </c>
    </row>
    <row r="745" spans="1:9">
      <c r="A745" s="4"/>
      <c r="B745" s="4"/>
      <c r="C745" s="4"/>
      <c r="D745" s="4" t="s">
        <v>55</v>
      </c>
      <c r="E745" s="4" t="s">
        <v>19</v>
      </c>
      <c r="F745" s="4">
        <v>30.504999999999999</v>
      </c>
      <c r="G745" s="3"/>
      <c r="H745" s="189"/>
    </row>
    <row r="751" spans="1:9" s="126" customFormat="1"/>
    <row r="752" spans="1:9">
      <c r="A752" s="387" t="s">
        <v>736</v>
      </c>
      <c r="B752" s="391" t="s">
        <v>435</v>
      </c>
      <c r="C752" s="387" t="s">
        <v>38</v>
      </c>
      <c r="D752" s="387" t="s">
        <v>182</v>
      </c>
      <c r="E752" s="387" t="s">
        <v>17</v>
      </c>
      <c r="F752" s="387">
        <v>16.411000000000001</v>
      </c>
      <c r="G752" s="387">
        <v>0.72171159699999998</v>
      </c>
      <c r="H752" s="389">
        <v>-0.42</v>
      </c>
      <c r="I752" s="51" t="s">
        <v>729</v>
      </c>
    </row>
    <row r="753" spans="1:9">
      <c r="A753" s="380" t="s">
        <v>29</v>
      </c>
      <c r="B753" s="379" t="s">
        <v>29</v>
      </c>
      <c r="C753" s="380" t="s">
        <v>29</v>
      </c>
      <c r="D753" s="380" t="s">
        <v>182</v>
      </c>
      <c r="E753" s="380" t="s">
        <v>19</v>
      </c>
      <c r="F753" s="380">
        <v>22.739000000000001</v>
      </c>
      <c r="G753" s="380" t="s">
        <v>29</v>
      </c>
      <c r="H753" s="380" t="s">
        <v>29</v>
      </c>
    </row>
    <row r="754" spans="1:9">
      <c r="A754" s="380" t="s">
        <v>736</v>
      </c>
      <c r="B754" s="379" t="s">
        <v>737</v>
      </c>
      <c r="C754" s="380" t="s">
        <v>45</v>
      </c>
      <c r="D754" s="380" t="s">
        <v>185</v>
      </c>
      <c r="E754" s="380" t="s">
        <v>17</v>
      </c>
      <c r="F754" s="380">
        <v>15.632999999999999</v>
      </c>
      <c r="G754" s="380">
        <v>0.57516556299999999</v>
      </c>
      <c r="H754" s="389">
        <v>-0.70199999999999996</v>
      </c>
      <c r="I754" s="51" t="s">
        <v>729</v>
      </c>
    </row>
    <row r="755" spans="1:9">
      <c r="A755" s="380" t="s">
        <v>29</v>
      </c>
      <c r="B755" s="379" t="s">
        <v>29</v>
      </c>
      <c r="C755" s="380" t="s">
        <v>29</v>
      </c>
      <c r="D755" s="380" t="s">
        <v>185</v>
      </c>
      <c r="E755" s="380" t="s">
        <v>19</v>
      </c>
      <c r="F755" s="380">
        <v>27.18</v>
      </c>
      <c r="G755" s="380" t="s">
        <v>29</v>
      </c>
      <c r="H755" s="380" t="s">
        <v>29</v>
      </c>
    </row>
    <row r="756" spans="1:9">
      <c r="A756" s="380" t="s">
        <v>736</v>
      </c>
      <c r="B756" s="379" t="s">
        <v>437</v>
      </c>
      <c r="C756" s="380" t="s">
        <v>21</v>
      </c>
      <c r="D756" s="380" t="s">
        <v>100</v>
      </c>
      <c r="E756" s="380" t="s">
        <v>17</v>
      </c>
      <c r="F756" s="380">
        <v>16.59</v>
      </c>
      <c r="G756" s="380">
        <v>0.61380790299999999</v>
      </c>
      <c r="H756" s="389">
        <v>-0.627</v>
      </c>
      <c r="I756" s="51" t="s">
        <v>729</v>
      </c>
    </row>
    <row r="757" spans="1:9">
      <c r="A757" s="380" t="s">
        <v>29</v>
      </c>
      <c r="B757" s="379" t="s">
        <v>29</v>
      </c>
      <c r="C757" s="380" t="s">
        <v>29</v>
      </c>
      <c r="D757" s="380" t="s">
        <v>100</v>
      </c>
      <c r="E757" s="380" t="s">
        <v>19</v>
      </c>
      <c r="F757" s="380">
        <v>27.027999999999999</v>
      </c>
      <c r="G757" s="380" t="s">
        <v>29</v>
      </c>
      <c r="H757" s="380" t="s">
        <v>29</v>
      </c>
    </row>
    <row r="758" spans="1:9">
      <c r="A758" s="380" t="s">
        <v>736</v>
      </c>
      <c r="B758" s="379" t="s">
        <v>438</v>
      </c>
      <c r="C758" s="380" t="s">
        <v>45</v>
      </c>
      <c r="D758" s="380" t="s">
        <v>173</v>
      </c>
      <c r="E758" s="380" t="s">
        <v>17</v>
      </c>
      <c r="F758" s="380">
        <v>15.875999999999999</v>
      </c>
      <c r="G758" s="380">
        <v>0.73350582099999995</v>
      </c>
      <c r="H758" s="389">
        <v>-0.39700000000000002</v>
      </c>
      <c r="I758" s="51" t="s">
        <v>729</v>
      </c>
    </row>
    <row r="759" spans="1:9">
      <c r="A759" s="380" t="s">
        <v>29</v>
      </c>
      <c r="B759" s="379" t="s">
        <v>29</v>
      </c>
      <c r="C759" s="380" t="s">
        <v>29</v>
      </c>
      <c r="D759" s="380" t="s">
        <v>173</v>
      </c>
      <c r="E759" s="380" t="s">
        <v>19</v>
      </c>
      <c r="F759" s="380">
        <v>21.643999999999998</v>
      </c>
      <c r="G759" s="380" t="s">
        <v>29</v>
      </c>
      <c r="H759" s="380" t="s">
        <v>29</v>
      </c>
    </row>
    <row r="765" spans="1:9" s="126" customFormat="1"/>
    <row r="779" s="126" customFormat="1"/>
  </sheetData>
  <conditionalFormatting sqref="H65:H73">
    <cfRule type="cellIs" dxfId="118" priority="64" operator="lessThan">
      <formula>0</formula>
    </cfRule>
    <cfRule type="cellIs" dxfId="117" priority="65" operator="greaterThan">
      <formula>0</formula>
    </cfRule>
    <cfRule type="cellIs" dxfId="116" priority="63" operator="lessThan">
      <formula>0</formula>
    </cfRule>
  </conditionalFormatting>
  <conditionalFormatting sqref="H175:H180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H294:H297">
    <cfRule type="cellIs" dxfId="113" priority="21" operator="lessThan">
      <formula>0</formula>
    </cfRule>
    <cfRule type="cellIs" dxfId="112" priority="22" operator="greaterThan">
      <formula>0</formula>
    </cfRule>
  </conditionalFormatting>
  <conditionalFormatting sqref="H367:H377">
    <cfRule type="cellIs" dxfId="111" priority="43" operator="lessThan">
      <formula>0</formula>
    </cfRule>
    <cfRule type="cellIs" dxfId="110" priority="44" operator="greaterThan">
      <formula>0</formula>
    </cfRule>
  </conditionalFormatting>
  <conditionalFormatting sqref="H424:H433">
    <cfRule type="cellIs" dxfId="109" priority="30" operator="greaterThan">
      <formula>0</formula>
    </cfRule>
    <cfRule type="cellIs" dxfId="108" priority="29" operator="lessThan">
      <formula>0</formula>
    </cfRule>
  </conditionalFormatting>
  <conditionalFormatting sqref="H459:H466">
    <cfRule type="cellIs" dxfId="107" priority="42" operator="greaterThan">
      <formula>0</formula>
    </cfRule>
    <cfRule type="cellIs" dxfId="106" priority="41" operator="lessThan">
      <formula>0</formula>
    </cfRule>
  </conditionalFormatting>
  <conditionalFormatting sqref="H480:H483">
    <cfRule type="cellIs" dxfId="105" priority="38" operator="greaterThan">
      <formula>0</formula>
    </cfRule>
    <cfRule type="cellIs" dxfId="104" priority="37" operator="lessThan">
      <formula>0</formula>
    </cfRule>
  </conditionalFormatting>
  <conditionalFormatting sqref="H526:H531">
    <cfRule type="cellIs" dxfId="103" priority="48" operator="greaterThan">
      <formula>0</formula>
    </cfRule>
    <cfRule type="cellIs" dxfId="102" priority="47" operator="lessThan">
      <formula>0</formula>
    </cfRule>
  </conditionalFormatting>
  <conditionalFormatting sqref="H533:H536">
    <cfRule type="cellIs" dxfId="101" priority="61" operator="lessThan">
      <formula>0</formula>
    </cfRule>
    <cfRule type="cellIs" dxfId="100" priority="62" operator="greaterThan">
      <formula>0</formula>
    </cfRule>
  </conditionalFormatting>
  <conditionalFormatting sqref="H547:H554">
    <cfRule type="cellIs" dxfId="99" priority="20" operator="greaterThan">
      <formula>0</formula>
    </cfRule>
    <cfRule type="cellIs" dxfId="98" priority="19" operator="lessThan">
      <formula>0</formula>
    </cfRule>
  </conditionalFormatting>
  <conditionalFormatting sqref="H561:H564">
    <cfRule type="cellIs" dxfId="97" priority="55" operator="lessThan">
      <formula>0</formula>
    </cfRule>
    <cfRule type="cellIs" dxfId="96" priority="56" operator="greaterThan">
      <formula>0</formula>
    </cfRule>
  </conditionalFormatting>
  <conditionalFormatting sqref="H575:H582">
    <cfRule type="cellIs" dxfId="95" priority="39" operator="lessThan">
      <formula>0</formula>
    </cfRule>
    <cfRule type="cellIs" dxfId="94" priority="40" operator="greaterThan">
      <formula>0</formula>
    </cfRule>
  </conditionalFormatting>
  <conditionalFormatting sqref="H589:H596">
    <cfRule type="cellIs" dxfId="93" priority="18" operator="greaterThan">
      <formula>0</formula>
    </cfRule>
    <cfRule type="cellIs" dxfId="92" priority="17" operator="lessThan">
      <formula>0</formula>
    </cfRule>
  </conditionalFormatting>
  <conditionalFormatting sqref="H603:H608">
    <cfRule type="cellIs" dxfId="91" priority="33" operator="lessThan">
      <formula>0</formula>
    </cfRule>
    <cfRule type="cellIs" dxfId="90" priority="34" operator="greaterThan">
      <formula>0</formula>
    </cfRule>
  </conditionalFormatting>
  <conditionalFormatting sqref="H617:H626">
    <cfRule type="cellIs" dxfId="89" priority="16" operator="greaterThan">
      <formula>0</formula>
    </cfRule>
    <cfRule type="cellIs" dxfId="88" priority="15" operator="lessThan">
      <formula>0</formula>
    </cfRule>
  </conditionalFormatting>
  <conditionalFormatting sqref="H631:H638">
    <cfRule type="cellIs" dxfId="87" priority="25" operator="lessThan">
      <formula>0</formula>
    </cfRule>
    <cfRule type="cellIs" dxfId="86" priority="26" operator="greaterThan">
      <formula>0</formula>
    </cfRule>
  </conditionalFormatting>
  <conditionalFormatting sqref="H640:H647">
    <cfRule type="cellIs" dxfId="85" priority="6" operator="greaterThan">
      <formula>0</formula>
    </cfRule>
    <cfRule type="cellIs" dxfId="84" priority="5" operator="lessThan">
      <formula>0</formula>
    </cfRule>
  </conditionalFormatting>
  <conditionalFormatting sqref="H657:H664">
    <cfRule type="cellIs" dxfId="83" priority="12" operator="greaterThan">
      <formula>0</formula>
    </cfRule>
    <cfRule type="cellIs" dxfId="82" priority="11" operator="lessThan">
      <formula>0</formula>
    </cfRule>
  </conditionalFormatting>
  <conditionalFormatting sqref="H666:H671">
    <cfRule type="cellIs" dxfId="81" priority="24" operator="greaterThan">
      <formula>0</formula>
    </cfRule>
    <cfRule type="cellIs" dxfId="80" priority="23" operator="lessThan">
      <formula>0</formula>
    </cfRule>
  </conditionalFormatting>
  <conditionalFormatting sqref="H694:H701">
    <cfRule type="cellIs" dxfId="79" priority="14" operator="greaterThan">
      <formula>0</formula>
    </cfRule>
    <cfRule type="cellIs" dxfId="78" priority="13" operator="lessThan">
      <formula>0</formula>
    </cfRule>
  </conditionalFormatting>
  <conditionalFormatting sqref="H710:H715">
    <cfRule type="cellIs" dxfId="77" priority="10" operator="greaterThan">
      <formula>0</formula>
    </cfRule>
    <cfRule type="cellIs" dxfId="76" priority="9" operator="lessThan">
      <formula>0</formula>
    </cfRule>
  </conditionalFormatting>
  <conditionalFormatting sqref="H724:H729">
    <cfRule type="cellIs" dxfId="75" priority="8" operator="greaterThan">
      <formula>0</formula>
    </cfRule>
    <cfRule type="cellIs" dxfId="74" priority="7" operator="lessThan">
      <formula>0</formula>
    </cfRule>
  </conditionalFormatting>
  <conditionalFormatting sqref="H738:H745">
    <cfRule type="cellIs" dxfId="73" priority="2" operator="greaterThan">
      <formula>0</formula>
    </cfRule>
    <cfRule type="cellIs" dxfId="72" priority="1" operator="lessThan">
      <formula>0</formula>
    </cfRule>
  </conditionalFormatting>
  <pageMargins left="0.7" right="0.7" top="0.75" bottom="0.75" header="0.3" footer="0.3"/>
  <pageSetup scale="73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D204-ACC2-FE43-8F9A-F68F8BF8177B}">
  <sheetPr>
    <pageSetUpPr fitToPage="1"/>
  </sheetPr>
  <dimension ref="A1:M455"/>
  <sheetViews>
    <sheetView workbookViewId="0">
      <pane ySplit="1" topLeftCell="A365" activePane="bottomLeft" state="frozen"/>
      <selection pane="bottomLeft" activeCell="B318" sqref="B318"/>
    </sheetView>
  </sheetViews>
  <sheetFormatPr baseColWidth="10" defaultColWidth="11" defaultRowHeight="16"/>
  <cols>
    <col min="1" max="1" width="12.83203125" bestFit="1" customWidth="1"/>
    <col min="2" max="2" width="25.1640625" style="51" bestFit="1" customWidth="1"/>
    <col min="3" max="3" width="9.5" bestFit="1" customWidth="1"/>
    <col min="6" max="6" width="16.6640625" bestFit="1" customWidth="1"/>
    <col min="7" max="7" width="19.6640625" bestFit="1" customWidth="1"/>
    <col min="8" max="8" width="18.1640625" bestFit="1" customWidth="1"/>
    <col min="9" max="9" width="12.1640625" style="51" bestFit="1" customWidth="1"/>
    <col min="10" max="10" width="27.5" bestFit="1" customWidth="1"/>
    <col min="11" max="11" width="18.83203125" bestFit="1" customWidth="1"/>
    <col min="13" max="13" width="47" style="51" customWidth="1"/>
  </cols>
  <sheetData>
    <row r="1" spans="1:1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89" t="s">
        <v>8</v>
      </c>
      <c r="J1" s="88" t="s">
        <v>9</v>
      </c>
      <c r="K1" s="88" t="s">
        <v>10</v>
      </c>
      <c r="L1" s="88" t="s">
        <v>11</v>
      </c>
      <c r="M1" s="88" t="s">
        <v>12</v>
      </c>
    </row>
    <row r="2" spans="1:13" ht="15.75" customHeight="1">
      <c r="A2" s="11" t="s">
        <v>738</v>
      </c>
      <c r="B2" s="12" t="s">
        <v>739</v>
      </c>
      <c r="C2" s="12" t="s">
        <v>15</v>
      </c>
      <c r="D2" s="13"/>
      <c r="E2" s="13"/>
      <c r="F2" s="14"/>
      <c r="G2" s="14"/>
      <c r="H2" s="15" t="s">
        <v>740</v>
      </c>
      <c r="I2" s="72" t="s">
        <v>741</v>
      </c>
    </row>
    <row r="3" spans="1:13">
      <c r="A3" s="11"/>
      <c r="B3" s="12"/>
      <c r="C3" s="17"/>
      <c r="D3" s="18"/>
      <c r="E3" s="18"/>
      <c r="F3" s="19"/>
      <c r="G3" s="19"/>
      <c r="H3" s="20"/>
    </row>
    <row r="4" spans="1:13">
      <c r="A4" s="21" t="s">
        <v>738</v>
      </c>
      <c r="B4" s="3" t="s">
        <v>742</v>
      </c>
      <c r="C4" s="3" t="s">
        <v>472</v>
      </c>
      <c r="D4" s="7" t="s">
        <v>71</v>
      </c>
      <c r="E4" s="7" t="s">
        <v>17</v>
      </c>
      <c r="F4" s="4">
        <v>18.038</v>
      </c>
      <c r="G4" s="4">
        <f>F4/F5</f>
        <v>0.93689295174777953</v>
      </c>
      <c r="H4" s="22">
        <f>(G4-0.94)/0.52</f>
        <v>-5.9750927927315622E-3</v>
      </c>
      <c r="I4" s="72" t="s">
        <v>741</v>
      </c>
    </row>
    <row r="5" spans="1:13">
      <c r="A5" s="21"/>
      <c r="B5" s="3"/>
      <c r="C5" s="3"/>
      <c r="D5" s="7" t="s">
        <v>71</v>
      </c>
      <c r="E5" s="7" t="s">
        <v>19</v>
      </c>
      <c r="F5" s="4">
        <v>19.253</v>
      </c>
      <c r="G5" s="4"/>
      <c r="H5" s="22"/>
    </row>
    <row r="6" spans="1:13" ht="16" customHeight="1">
      <c r="A6" s="16" t="s">
        <v>738</v>
      </c>
      <c r="B6" s="17" t="s">
        <v>743</v>
      </c>
      <c r="C6" s="17" t="s">
        <v>33</v>
      </c>
      <c r="D6" s="18"/>
      <c r="E6" s="18"/>
      <c r="F6" s="19"/>
      <c r="G6" s="19"/>
      <c r="H6" s="24" t="s">
        <v>740</v>
      </c>
      <c r="I6" s="72" t="s">
        <v>741</v>
      </c>
    </row>
    <row r="7" spans="1:13">
      <c r="A7" s="16"/>
      <c r="B7" s="17"/>
      <c r="C7" s="17"/>
      <c r="D7" s="18"/>
      <c r="E7" s="18"/>
      <c r="F7" s="19"/>
      <c r="G7" s="19"/>
      <c r="H7" s="20"/>
    </row>
    <row r="8" spans="1:13" s="122" customFormat="1">
      <c r="A8" s="174"/>
      <c r="B8" s="175"/>
      <c r="C8" s="175"/>
      <c r="D8" s="176"/>
      <c r="E8" s="176"/>
      <c r="F8" s="129"/>
      <c r="G8" s="129"/>
      <c r="H8" s="134"/>
      <c r="I8" s="126"/>
      <c r="M8" s="126"/>
    </row>
    <row r="9" spans="1:13" ht="15.75" customHeight="1">
      <c r="A9" s="23" t="s">
        <v>744</v>
      </c>
      <c r="B9" s="3" t="s">
        <v>745</v>
      </c>
      <c r="C9" s="3" t="s">
        <v>15</v>
      </c>
      <c r="D9" s="7" t="s">
        <v>81</v>
      </c>
      <c r="E9" s="7" t="s">
        <v>17</v>
      </c>
      <c r="F9" s="4">
        <v>18.872</v>
      </c>
      <c r="G9" s="4">
        <f t="shared" ref="G9:G71" si="0">F9/F10</f>
        <v>1.0064529891739107</v>
      </c>
      <c r="H9" s="25">
        <f t="shared" ref="H9:H71" si="1">(G9-0.94)/0.52</f>
        <v>0.12779420994982835</v>
      </c>
      <c r="I9" s="72" t="s">
        <v>741</v>
      </c>
    </row>
    <row r="10" spans="1:13" ht="16" customHeight="1">
      <c r="A10" s="23"/>
      <c r="B10" s="3"/>
      <c r="C10" s="3"/>
      <c r="D10" s="7" t="s">
        <v>81</v>
      </c>
      <c r="E10" s="7" t="s">
        <v>19</v>
      </c>
      <c r="F10" s="4">
        <v>18.751000000000001</v>
      </c>
      <c r="G10" s="4"/>
      <c r="H10" s="25"/>
    </row>
    <row r="11" spans="1:13" ht="16" customHeight="1">
      <c r="A11" s="23" t="s">
        <v>744</v>
      </c>
      <c r="B11" s="3" t="s">
        <v>746</v>
      </c>
      <c r="C11" s="3" t="s">
        <v>472</v>
      </c>
      <c r="D11" s="7" t="s">
        <v>83</v>
      </c>
      <c r="E11" s="7" t="s">
        <v>17</v>
      </c>
      <c r="F11" s="4">
        <v>18.847000000000001</v>
      </c>
      <c r="G11" s="4">
        <f t="shared" si="0"/>
        <v>0.89496177406334587</v>
      </c>
      <c r="H11" s="22">
        <f t="shared" si="1"/>
        <v>-8.6611972955103991E-2</v>
      </c>
      <c r="I11" s="72" t="s">
        <v>741</v>
      </c>
    </row>
    <row r="12" spans="1:13" ht="16" customHeight="1">
      <c r="A12" s="23"/>
      <c r="B12" s="3"/>
      <c r="C12" s="3"/>
      <c r="D12" s="7" t="s">
        <v>83</v>
      </c>
      <c r="E12" s="7" t="s">
        <v>19</v>
      </c>
      <c r="F12" s="4">
        <v>21.059000000000001</v>
      </c>
      <c r="G12" s="4"/>
      <c r="H12" s="22"/>
    </row>
    <row r="13" spans="1:13" ht="16" customHeight="1">
      <c r="A13" s="16" t="s">
        <v>744</v>
      </c>
      <c r="B13" s="17" t="s">
        <v>747</v>
      </c>
      <c r="C13" s="17" t="s">
        <v>33</v>
      </c>
      <c r="D13" s="18"/>
      <c r="E13" s="18"/>
      <c r="F13" s="19"/>
      <c r="G13" s="19"/>
      <c r="H13" s="24" t="s">
        <v>740</v>
      </c>
      <c r="I13" s="72" t="s">
        <v>741</v>
      </c>
    </row>
    <row r="14" spans="1:13">
      <c r="A14" s="16"/>
      <c r="B14" s="17"/>
      <c r="C14" s="17"/>
      <c r="D14" s="18"/>
      <c r="E14" s="18"/>
      <c r="F14" s="19"/>
      <c r="G14" s="19"/>
      <c r="H14" s="20"/>
    </row>
    <row r="15" spans="1:13" s="51" customFormat="1">
      <c r="A15" s="68" t="s">
        <v>744</v>
      </c>
      <c r="B15" s="66" t="s">
        <v>748</v>
      </c>
      <c r="C15" s="66" t="s">
        <v>38</v>
      </c>
      <c r="D15" s="66" t="s">
        <v>314</v>
      </c>
      <c r="E15" s="66" t="s">
        <v>17</v>
      </c>
      <c r="F15" s="66">
        <v>19.224</v>
      </c>
      <c r="G15" s="66">
        <v>1.0589401780000001</v>
      </c>
      <c r="H15" s="69">
        <v>0.22900000000000001</v>
      </c>
      <c r="I15" s="72" t="s">
        <v>40</v>
      </c>
      <c r="J15" s="66" t="s">
        <v>749</v>
      </c>
      <c r="K15" s="68" t="s">
        <v>744</v>
      </c>
      <c r="L15" s="86">
        <v>44684</v>
      </c>
      <c r="M15" s="87" t="s">
        <v>24</v>
      </c>
    </row>
    <row r="16" spans="1:13" s="51" customFormat="1">
      <c r="A16" s="68"/>
      <c r="B16" s="66"/>
      <c r="C16" s="65" t="s">
        <v>29</v>
      </c>
      <c r="D16" s="65" t="s">
        <v>314</v>
      </c>
      <c r="E16" s="65" t="s">
        <v>19</v>
      </c>
      <c r="F16" s="65">
        <v>18.154</v>
      </c>
      <c r="G16" s="65" t="s">
        <v>29</v>
      </c>
      <c r="H16" s="65" t="s">
        <v>29</v>
      </c>
    </row>
    <row r="17" spans="1:13" s="122" customFormat="1">
      <c r="A17" s="174"/>
      <c r="B17" s="175"/>
      <c r="C17" s="175"/>
      <c r="D17" s="176"/>
      <c r="E17" s="176"/>
      <c r="F17" s="129"/>
      <c r="G17" s="129"/>
      <c r="H17" s="134"/>
      <c r="I17" s="126"/>
      <c r="M17" s="126"/>
    </row>
    <row r="18" spans="1:13" ht="15.75" customHeight="1">
      <c r="A18" s="23" t="s">
        <v>750</v>
      </c>
      <c r="B18" s="3" t="s">
        <v>751</v>
      </c>
      <c r="C18" s="3" t="s">
        <v>15</v>
      </c>
      <c r="D18" s="7" t="s">
        <v>31</v>
      </c>
      <c r="E18" s="7" t="s">
        <v>17</v>
      </c>
      <c r="F18" s="4">
        <v>17.559000000000001</v>
      </c>
      <c r="G18" s="4">
        <f t="shared" si="0"/>
        <v>0.91826168810793851</v>
      </c>
      <c r="H18" s="22">
        <f t="shared" si="1"/>
        <v>-4.1804445946271987E-2</v>
      </c>
      <c r="I18" s="72" t="s">
        <v>741</v>
      </c>
    </row>
    <row r="19" spans="1:13" ht="16" customHeight="1">
      <c r="A19" s="23"/>
      <c r="B19" s="3"/>
      <c r="C19" s="3"/>
      <c r="D19" s="7" t="s">
        <v>31</v>
      </c>
      <c r="E19" s="7" t="s">
        <v>19</v>
      </c>
      <c r="F19" s="4">
        <v>19.122</v>
      </c>
      <c r="G19" s="4"/>
      <c r="H19" s="22"/>
    </row>
    <row r="20" spans="1:13" ht="16" customHeight="1">
      <c r="A20" s="23" t="s">
        <v>750</v>
      </c>
      <c r="B20" s="3" t="s">
        <v>752</v>
      </c>
      <c r="C20" s="3" t="s">
        <v>472</v>
      </c>
      <c r="D20" s="7" t="s">
        <v>34</v>
      </c>
      <c r="E20" s="7" t="s">
        <v>17</v>
      </c>
      <c r="F20" s="4">
        <v>17.716999999999999</v>
      </c>
      <c r="G20" s="4">
        <f t="shared" si="0"/>
        <v>0.82427654229087177</v>
      </c>
      <c r="H20" s="22">
        <f t="shared" si="1"/>
        <v>-0.22254511097909263</v>
      </c>
      <c r="I20" s="72" t="s">
        <v>741</v>
      </c>
    </row>
    <row r="21" spans="1:13" ht="16" customHeight="1">
      <c r="A21" s="23"/>
      <c r="B21" s="3"/>
      <c r="C21" s="3"/>
      <c r="D21" s="7" t="s">
        <v>34</v>
      </c>
      <c r="E21" s="7" t="s">
        <v>19</v>
      </c>
      <c r="F21" s="4">
        <v>21.494</v>
      </c>
      <c r="G21" s="4"/>
      <c r="H21" s="22"/>
    </row>
    <row r="22" spans="1:13" ht="16" customHeight="1">
      <c r="A22" s="23" t="s">
        <v>750</v>
      </c>
      <c r="B22" s="3" t="s">
        <v>753</v>
      </c>
      <c r="C22" s="3" t="s">
        <v>33</v>
      </c>
      <c r="D22" s="7" t="s">
        <v>105</v>
      </c>
      <c r="E22" s="7" t="s">
        <v>17</v>
      </c>
      <c r="F22" s="4">
        <v>17.625</v>
      </c>
      <c r="G22" s="4">
        <f t="shared" si="0"/>
        <v>0.8277756904001502</v>
      </c>
      <c r="H22" s="22">
        <f t="shared" si="1"/>
        <v>-0.21581597999971106</v>
      </c>
      <c r="I22" s="72" t="s">
        <v>741</v>
      </c>
    </row>
    <row r="23" spans="1:13" ht="16" customHeight="1">
      <c r="A23" s="23"/>
      <c r="B23" s="3"/>
      <c r="C23" s="3"/>
      <c r="D23" s="7" t="s">
        <v>105</v>
      </c>
      <c r="E23" s="7" t="s">
        <v>19</v>
      </c>
      <c r="F23" s="4">
        <v>21.292000000000002</v>
      </c>
      <c r="G23" s="4"/>
      <c r="H23" s="22"/>
    </row>
    <row r="24" spans="1:13" ht="16" customHeight="1">
      <c r="A24" s="23" t="s">
        <v>750</v>
      </c>
      <c r="B24" s="3" t="s">
        <v>754</v>
      </c>
      <c r="C24" s="3" t="s">
        <v>33</v>
      </c>
      <c r="D24" s="7" t="s">
        <v>59</v>
      </c>
      <c r="E24" s="7" t="s">
        <v>17</v>
      </c>
      <c r="F24" s="4">
        <v>17.632999999999999</v>
      </c>
      <c r="G24" s="4">
        <f t="shared" si="0"/>
        <v>0.78972590469365822</v>
      </c>
      <c r="H24" s="22">
        <f t="shared" si="1"/>
        <v>-0.28898864481988795</v>
      </c>
      <c r="I24" s="72" t="s">
        <v>741</v>
      </c>
      <c r="J24" s="66" t="s">
        <v>755</v>
      </c>
      <c r="K24" s="68" t="s">
        <v>750</v>
      </c>
      <c r="L24" s="86">
        <v>44601</v>
      </c>
      <c r="M24" s="87" t="s">
        <v>24</v>
      </c>
    </row>
    <row r="25" spans="1:13">
      <c r="A25" s="23"/>
      <c r="B25" s="3"/>
      <c r="C25" s="3"/>
      <c r="D25" s="7" t="s">
        <v>59</v>
      </c>
      <c r="E25" s="7" t="s">
        <v>19</v>
      </c>
      <c r="F25" s="4">
        <v>22.327999999999999</v>
      </c>
      <c r="G25" s="4"/>
      <c r="H25" s="22"/>
    </row>
    <row r="26" spans="1:13">
      <c r="A26" s="100"/>
      <c r="B26" s="3"/>
      <c r="C26" s="3"/>
      <c r="D26" s="7"/>
      <c r="E26" s="7"/>
      <c r="F26" s="4"/>
      <c r="G26" s="4"/>
      <c r="H26" s="184"/>
      <c r="J26" s="180" t="s">
        <v>756</v>
      </c>
      <c r="K26" s="180" t="s">
        <v>757</v>
      </c>
      <c r="L26" s="180">
        <v>44636</v>
      </c>
      <c r="M26" s="143" t="s">
        <v>24</v>
      </c>
    </row>
    <row r="27" spans="1:13">
      <c r="A27" s="100"/>
      <c r="B27" s="3"/>
      <c r="C27" s="3"/>
      <c r="D27" s="7"/>
      <c r="E27" s="7"/>
      <c r="F27" s="4"/>
      <c r="G27" s="4"/>
      <c r="H27" s="184"/>
    </row>
    <row r="28" spans="1:13">
      <c r="A28" s="100"/>
      <c r="B28" s="3"/>
      <c r="C28" s="3"/>
      <c r="D28" s="7"/>
      <c r="E28" s="7"/>
      <c r="F28" s="4"/>
      <c r="G28" s="4"/>
      <c r="H28" s="184"/>
      <c r="J28" s="180" t="s">
        <v>758</v>
      </c>
      <c r="K28" s="180" t="s">
        <v>757</v>
      </c>
      <c r="L28" s="180">
        <v>44636</v>
      </c>
      <c r="M28" s="87" t="s">
        <v>24</v>
      </c>
    </row>
    <row r="29" spans="1:13">
      <c r="A29" s="100"/>
      <c r="B29" s="3"/>
      <c r="C29" s="3"/>
      <c r="D29" s="7"/>
      <c r="E29" s="7"/>
      <c r="F29" s="4"/>
      <c r="G29" s="4"/>
      <c r="H29" s="184"/>
    </row>
    <row r="30" spans="1:13" ht="15.75" customHeight="1">
      <c r="A30" s="3" t="s">
        <v>759</v>
      </c>
      <c r="B30" s="3" t="s">
        <v>760</v>
      </c>
      <c r="C30" s="3" t="s">
        <v>15</v>
      </c>
      <c r="D30" s="7" t="s">
        <v>68</v>
      </c>
      <c r="E30" s="7" t="s">
        <v>17</v>
      </c>
      <c r="F30" s="4">
        <v>18.029</v>
      </c>
      <c r="G30" s="3">
        <f>F30/F31</f>
        <v>0.94087256027554544</v>
      </c>
      <c r="H30" s="42">
        <f>(G30-0.94)/0.52</f>
        <v>1.6780005298951874E-3</v>
      </c>
      <c r="I30" s="72" t="s">
        <v>18</v>
      </c>
      <c r="J30" s="220" t="s">
        <v>761</v>
      </c>
      <c r="K30" s="220" t="s">
        <v>757</v>
      </c>
      <c r="L30" s="180">
        <v>44684</v>
      </c>
      <c r="M30" s="87" t="s">
        <v>24</v>
      </c>
    </row>
    <row r="31" spans="1:13">
      <c r="A31" s="3"/>
      <c r="B31" s="3"/>
      <c r="C31" s="7"/>
      <c r="D31" s="7" t="s">
        <v>68</v>
      </c>
      <c r="E31" s="7" t="s">
        <v>19</v>
      </c>
      <c r="F31" s="4">
        <v>19.161999999999999</v>
      </c>
      <c r="G31" s="3"/>
      <c r="H31" s="42"/>
    </row>
    <row r="32" spans="1:13" s="122" customFormat="1">
      <c r="A32" s="127"/>
      <c r="B32" s="128"/>
      <c r="C32" s="128"/>
      <c r="D32" s="176"/>
      <c r="E32" s="176"/>
      <c r="F32" s="129"/>
      <c r="G32" s="129"/>
      <c r="H32" s="134"/>
      <c r="I32" s="126"/>
      <c r="M32" s="126"/>
    </row>
    <row r="33" spans="1:13" ht="15.75" customHeight="1">
      <c r="A33" s="23" t="s">
        <v>762</v>
      </c>
      <c r="B33" s="3" t="s">
        <v>763</v>
      </c>
      <c r="C33" s="3" t="s">
        <v>15</v>
      </c>
      <c r="D33" s="7" t="s">
        <v>49</v>
      </c>
      <c r="E33" s="7" t="s">
        <v>17</v>
      </c>
      <c r="F33" s="4">
        <v>17.673999999999999</v>
      </c>
      <c r="G33" s="4">
        <f t="shared" si="0"/>
        <v>0.92388917929952952</v>
      </c>
      <c r="H33" s="22">
        <f t="shared" si="1"/>
        <v>-3.0982347500904672E-2</v>
      </c>
      <c r="I33" s="72" t="s">
        <v>741</v>
      </c>
    </row>
    <row r="34" spans="1:13" ht="16" customHeight="1">
      <c r="A34" s="23"/>
      <c r="B34" s="3"/>
      <c r="C34" s="3"/>
      <c r="D34" s="7" t="s">
        <v>49</v>
      </c>
      <c r="E34" s="7" t="s">
        <v>19</v>
      </c>
      <c r="F34" s="4">
        <v>19.13</v>
      </c>
      <c r="G34" s="4"/>
      <c r="H34" s="22"/>
    </row>
    <row r="35" spans="1:13" ht="16" customHeight="1">
      <c r="A35" s="23" t="s">
        <v>762</v>
      </c>
      <c r="B35" s="3" t="s">
        <v>764</v>
      </c>
      <c r="C35" s="3" t="s">
        <v>472</v>
      </c>
      <c r="D35" s="7" t="s">
        <v>52</v>
      </c>
      <c r="E35" s="7" t="s">
        <v>17</v>
      </c>
      <c r="F35" s="4">
        <v>19.175999999999998</v>
      </c>
      <c r="G35" s="4">
        <f t="shared" si="0"/>
        <v>0.85960193652501338</v>
      </c>
      <c r="H35" s="22">
        <f t="shared" si="1"/>
        <v>-0.15461166052882033</v>
      </c>
      <c r="I35" s="72" t="s">
        <v>741</v>
      </c>
      <c r="J35" s="58" t="s">
        <v>764</v>
      </c>
      <c r="K35" s="57" t="s">
        <v>762</v>
      </c>
      <c r="L35" s="82">
        <v>44797</v>
      </c>
      <c r="M35" s="87" t="s">
        <v>24</v>
      </c>
    </row>
    <row r="36" spans="1:13" ht="16" customHeight="1">
      <c r="A36" s="23"/>
      <c r="B36" s="3"/>
      <c r="C36" s="3"/>
      <c r="D36" s="7" t="s">
        <v>52</v>
      </c>
      <c r="E36" s="7" t="s">
        <v>19</v>
      </c>
      <c r="F36" s="4">
        <v>22.308</v>
      </c>
      <c r="G36" s="4"/>
      <c r="H36" s="22"/>
    </row>
    <row r="37" spans="1:13" ht="16" customHeight="1">
      <c r="A37" s="23" t="s">
        <v>762</v>
      </c>
      <c r="B37" s="3" t="s">
        <v>765</v>
      </c>
      <c r="C37" s="3" t="s">
        <v>33</v>
      </c>
      <c r="D37" s="7" t="s">
        <v>55</v>
      </c>
      <c r="E37" s="7" t="s">
        <v>17</v>
      </c>
      <c r="F37" s="4">
        <v>17.908999999999999</v>
      </c>
      <c r="G37" s="4">
        <f t="shared" si="0"/>
        <v>0.87237566369526032</v>
      </c>
      <c r="H37" s="22">
        <f t="shared" si="1"/>
        <v>-0.13004680058603774</v>
      </c>
      <c r="I37" s="72" t="s">
        <v>741</v>
      </c>
    </row>
    <row r="38" spans="1:13" ht="16" customHeight="1">
      <c r="A38" s="23"/>
      <c r="B38" s="3"/>
      <c r="C38" s="3"/>
      <c r="D38" s="7" t="s">
        <v>55</v>
      </c>
      <c r="E38" s="7" t="s">
        <v>19</v>
      </c>
      <c r="F38" s="4">
        <v>20.529</v>
      </c>
      <c r="G38" s="4"/>
      <c r="H38" s="22"/>
    </row>
    <row r="39" spans="1:13" ht="16" customHeight="1">
      <c r="A39" s="23" t="s">
        <v>762</v>
      </c>
      <c r="B39" s="3" t="s">
        <v>766</v>
      </c>
      <c r="C39" s="3" t="s">
        <v>33</v>
      </c>
      <c r="D39" s="7" t="s">
        <v>182</v>
      </c>
      <c r="E39" s="7" t="s">
        <v>17</v>
      </c>
      <c r="F39" s="4">
        <v>18.856000000000002</v>
      </c>
      <c r="G39" s="4">
        <f t="shared" si="0"/>
        <v>0.97532716081311766</v>
      </c>
      <c r="H39" s="25">
        <f t="shared" si="1"/>
        <v>6.7936847717534055E-2</v>
      </c>
      <c r="I39" s="72" t="s">
        <v>741</v>
      </c>
      <c r="J39" s="58" t="s">
        <v>767</v>
      </c>
      <c r="K39" s="57" t="s">
        <v>762</v>
      </c>
      <c r="L39" s="82">
        <v>44601</v>
      </c>
      <c r="M39" s="87" t="s">
        <v>24</v>
      </c>
    </row>
    <row r="40" spans="1:13">
      <c r="A40" s="23"/>
      <c r="B40" s="3"/>
      <c r="C40" s="3"/>
      <c r="D40" s="7" t="s">
        <v>182</v>
      </c>
      <c r="E40" s="7" t="s">
        <v>19</v>
      </c>
      <c r="F40" s="4">
        <v>19.332999999999998</v>
      </c>
      <c r="G40" s="4"/>
      <c r="H40" s="25"/>
    </row>
    <row r="41" spans="1:13">
      <c r="A41" s="60" t="s">
        <v>762</v>
      </c>
      <c r="B41" s="61" t="s">
        <v>768</v>
      </c>
      <c r="C41" s="61" t="s">
        <v>38</v>
      </c>
      <c r="D41" s="61" t="s">
        <v>63</v>
      </c>
      <c r="E41" s="61" t="s">
        <v>17</v>
      </c>
      <c r="F41" s="61">
        <v>21.484000000000002</v>
      </c>
      <c r="G41" s="61">
        <v>0.90856804499999999</v>
      </c>
      <c r="H41" s="59">
        <v>-0.06</v>
      </c>
      <c r="I41" s="72" t="s">
        <v>40</v>
      </c>
    </row>
    <row r="42" spans="1:13">
      <c r="A42" s="60"/>
      <c r="B42" s="61"/>
      <c r="C42" s="61" t="s">
        <v>29</v>
      </c>
      <c r="D42" s="61" t="s">
        <v>63</v>
      </c>
      <c r="E42" s="61" t="s">
        <v>19</v>
      </c>
      <c r="F42" s="61">
        <v>23.646000000000001</v>
      </c>
      <c r="G42" s="61" t="s">
        <v>29</v>
      </c>
      <c r="H42" s="61" t="s">
        <v>29</v>
      </c>
    </row>
    <row r="43" spans="1:13" s="122" customFormat="1">
      <c r="A43" s="127"/>
      <c r="B43" s="128"/>
      <c r="C43" s="128"/>
      <c r="D43" s="176"/>
      <c r="E43" s="176"/>
      <c r="F43" s="129"/>
      <c r="G43" s="129"/>
      <c r="H43" s="134"/>
      <c r="I43" s="126"/>
      <c r="M43" s="126"/>
    </row>
    <row r="44" spans="1:13" ht="15.75" customHeight="1">
      <c r="A44" s="23" t="s">
        <v>769</v>
      </c>
      <c r="B44" s="3" t="s">
        <v>770</v>
      </c>
      <c r="C44" s="3" t="s">
        <v>771</v>
      </c>
      <c r="D44" s="7" t="s">
        <v>185</v>
      </c>
      <c r="E44" s="7" t="s">
        <v>17</v>
      </c>
      <c r="F44" s="4">
        <v>18.605</v>
      </c>
      <c r="G44" s="4">
        <f t="shared" si="0"/>
        <v>0.93384530442202485</v>
      </c>
      <c r="H44" s="22">
        <f t="shared" si="1"/>
        <v>-1.18359530345675E-2</v>
      </c>
      <c r="I44" s="72" t="s">
        <v>741</v>
      </c>
    </row>
    <row r="45" spans="1:13" ht="16" customHeight="1">
      <c r="A45" s="23"/>
      <c r="B45" s="3"/>
      <c r="C45" s="3"/>
      <c r="D45" s="7" t="s">
        <v>185</v>
      </c>
      <c r="E45" s="7" t="s">
        <v>19</v>
      </c>
      <c r="F45" s="4">
        <v>19.922999999999998</v>
      </c>
      <c r="G45" s="4"/>
      <c r="H45" s="22"/>
    </row>
    <row r="46" spans="1:13" ht="16" customHeight="1">
      <c r="A46" s="23" t="s">
        <v>769</v>
      </c>
      <c r="B46" s="3" t="s">
        <v>772</v>
      </c>
      <c r="C46" s="3" t="s">
        <v>30</v>
      </c>
      <c r="D46" s="7" t="s">
        <v>100</v>
      </c>
      <c r="E46" s="7" t="s">
        <v>17</v>
      </c>
      <c r="F46" s="4">
        <v>18.334</v>
      </c>
      <c r="G46" s="4">
        <f t="shared" si="0"/>
        <v>0.86562795089707267</v>
      </c>
      <c r="H46" s="22">
        <f t="shared" si="1"/>
        <v>-0.14302317135178322</v>
      </c>
      <c r="I46" s="72" t="s">
        <v>741</v>
      </c>
      <c r="J46" s="58" t="s">
        <v>773</v>
      </c>
      <c r="K46" s="57" t="s">
        <v>769</v>
      </c>
      <c r="L46" s="82">
        <v>44797</v>
      </c>
      <c r="M46" s="87" t="s">
        <v>24</v>
      </c>
    </row>
    <row r="47" spans="1:13" ht="16" customHeight="1">
      <c r="A47" s="23"/>
      <c r="B47" s="3"/>
      <c r="C47" s="3"/>
      <c r="D47" s="7" t="s">
        <v>100</v>
      </c>
      <c r="E47" s="7" t="s">
        <v>19</v>
      </c>
      <c r="F47" s="4">
        <v>21.18</v>
      </c>
      <c r="G47" s="4"/>
      <c r="H47" s="22"/>
    </row>
    <row r="48" spans="1:13" ht="16" customHeight="1">
      <c r="A48" s="23" t="s">
        <v>769</v>
      </c>
      <c r="B48" s="3" t="s">
        <v>774</v>
      </c>
      <c r="C48" s="3" t="s">
        <v>775</v>
      </c>
      <c r="D48" s="7" t="s">
        <v>173</v>
      </c>
      <c r="E48" s="7" t="s">
        <v>17</v>
      </c>
      <c r="F48" s="4">
        <v>20.477</v>
      </c>
      <c r="G48" s="4">
        <f>F48/F49</f>
        <v>1.0819507555743424</v>
      </c>
      <c r="H48" s="25">
        <f t="shared" si="1"/>
        <v>0.27298222225835084</v>
      </c>
      <c r="I48" s="72" t="s">
        <v>741</v>
      </c>
      <c r="J48" s="61" t="s">
        <v>776</v>
      </c>
      <c r="K48" s="60" t="s">
        <v>769</v>
      </c>
      <c r="L48" s="82">
        <v>44601</v>
      </c>
      <c r="M48" s="87" t="s">
        <v>24</v>
      </c>
    </row>
    <row r="49" spans="1:13" ht="16" customHeight="1">
      <c r="A49" s="23"/>
      <c r="B49" s="3"/>
      <c r="C49" s="3"/>
      <c r="D49" s="7" t="s">
        <v>173</v>
      </c>
      <c r="E49" s="7" t="s">
        <v>19</v>
      </c>
      <c r="F49" s="4">
        <v>18.925999999999998</v>
      </c>
      <c r="G49" s="4"/>
      <c r="H49" s="25"/>
    </row>
    <row r="50" spans="1:13">
      <c r="A50" s="3" t="s">
        <v>769</v>
      </c>
      <c r="B50" s="3" t="s">
        <v>777</v>
      </c>
      <c r="C50" s="3" t="s">
        <v>15</v>
      </c>
      <c r="D50" s="7" t="s">
        <v>71</v>
      </c>
      <c r="E50" s="7" t="s">
        <v>17</v>
      </c>
      <c r="F50" s="4">
        <v>18.969000000000001</v>
      </c>
      <c r="G50" s="3">
        <f>F50/F51</f>
        <v>1.0792558033682293</v>
      </c>
      <c r="H50" s="42">
        <f>(G50-0.94)/0.52</f>
        <v>0.26779962186197959</v>
      </c>
      <c r="I50" s="72" t="s">
        <v>18</v>
      </c>
    </row>
    <row r="51" spans="1:13">
      <c r="A51" s="3"/>
      <c r="B51" s="3"/>
      <c r="C51" s="7"/>
      <c r="D51" s="7" t="s">
        <v>71</v>
      </c>
      <c r="E51" s="7" t="s">
        <v>19</v>
      </c>
      <c r="F51" s="4">
        <v>17.576000000000001</v>
      </c>
      <c r="G51" s="3"/>
      <c r="H51" s="42"/>
    </row>
    <row r="52" spans="1:13" s="122" customFormat="1">
      <c r="A52" s="177"/>
      <c r="B52" s="128"/>
      <c r="C52" s="176"/>
      <c r="D52" s="176"/>
      <c r="E52" s="176"/>
      <c r="F52" s="129"/>
      <c r="G52" s="128"/>
      <c r="H52" s="178"/>
      <c r="I52" s="126"/>
      <c r="M52" s="126"/>
    </row>
    <row r="53" spans="1:13">
      <c r="A53" s="23" t="s">
        <v>778</v>
      </c>
      <c r="B53" s="3" t="s">
        <v>779</v>
      </c>
      <c r="C53" s="3" t="s">
        <v>15</v>
      </c>
      <c r="D53" s="7" t="s">
        <v>39</v>
      </c>
      <c r="E53" s="7" t="s">
        <v>17</v>
      </c>
      <c r="F53" s="4">
        <v>18.436</v>
      </c>
      <c r="G53" s="4">
        <f t="shared" si="0"/>
        <v>0.90306147440607398</v>
      </c>
      <c r="H53" s="22">
        <f t="shared" si="1"/>
        <v>-7.1035626142165312E-2</v>
      </c>
      <c r="I53" s="72" t="s">
        <v>741</v>
      </c>
    </row>
    <row r="54" spans="1:13" ht="16" customHeight="1">
      <c r="A54" s="23"/>
      <c r="B54" s="3"/>
      <c r="C54" s="3"/>
      <c r="D54" s="7" t="s">
        <v>39</v>
      </c>
      <c r="E54" s="7" t="s">
        <v>19</v>
      </c>
      <c r="F54" s="4">
        <v>20.414999999999999</v>
      </c>
      <c r="G54" s="4"/>
      <c r="H54" s="22"/>
    </row>
    <row r="55" spans="1:13" ht="16" customHeight="1">
      <c r="A55" s="23" t="s">
        <v>778</v>
      </c>
      <c r="B55" s="3" t="s">
        <v>780</v>
      </c>
      <c r="C55" s="3" t="s">
        <v>30</v>
      </c>
      <c r="D55" s="7" t="s">
        <v>42</v>
      </c>
      <c r="E55" s="7" t="s">
        <v>17</v>
      </c>
      <c r="F55" s="4">
        <v>19.297999999999998</v>
      </c>
      <c r="G55" s="4">
        <f t="shared" si="0"/>
        <v>0.91006838009903324</v>
      </c>
      <c r="H55" s="22">
        <f t="shared" si="1"/>
        <v>-5.756080750185906E-2</v>
      </c>
      <c r="I55" s="72" t="s">
        <v>741</v>
      </c>
    </row>
    <row r="56" spans="1:13">
      <c r="A56" s="23"/>
      <c r="B56" s="3"/>
      <c r="C56" s="3"/>
      <c r="D56" s="7" t="s">
        <v>42</v>
      </c>
      <c r="E56" s="7" t="s">
        <v>19</v>
      </c>
      <c r="F56" s="4">
        <v>21.204999999999998</v>
      </c>
      <c r="G56" s="4"/>
      <c r="H56" s="22"/>
    </row>
    <row r="57" spans="1:13">
      <c r="A57" s="268" t="s">
        <v>781</v>
      </c>
      <c r="B57" s="269" t="s">
        <v>782</v>
      </c>
      <c r="C57" s="269" t="s">
        <v>45</v>
      </c>
      <c r="D57" s="66" t="s">
        <v>31</v>
      </c>
      <c r="E57" s="66" t="s">
        <v>17</v>
      </c>
      <c r="F57" s="66">
        <v>27.861000000000001</v>
      </c>
      <c r="G57" s="66">
        <v>1.225359546</v>
      </c>
      <c r="H57" s="249">
        <v>0.54900000000000004</v>
      </c>
      <c r="I57" s="72" t="s">
        <v>269</v>
      </c>
    </row>
    <row r="58" spans="1:13">
      <c r="A58" s="70" t="s">
        <v>29</v>
      </c>
      <c r="B58" s="65" t="s">
        <v>29</v>
      </c>
      <c r="C58" s="65" t="s">
        <v>29</v>
      </c>
      <c r="D58" s="65" t="s">
        <v>31</v>
      </c>
      <c r="E58" s="65" t="s">
        <v>19</v>
      </c>
      <c r="F58" s="65">
        <v>22.736999999999998</v>
      </c>
      <c r="G58" s="65" t="s">
        <v>29</v>
      </c>
      <c r="H58" s="65" t="s">
        <v>29</v>
      </c>
    </row>
    <row r="59" spans="1:13" s="122" customFormat="1">
      <c r="A59" s="127"/>
      <c r="B59" s="128"/>
      <c r="C59" s="128"/>
      <c r="D59" s="176"/>
      <c r="E59" s="176"/>
      <c r="F59" s="129"/>
      <c r="G59" s="129"/>
      <c r="H59" s="134"/>
      <c r="I59" s="126"/>
      <c r="M59" s="126"/>
    </row>
    <row r="60" spans="1:13">
      <c r="A60" s="23" t="s">
        <v>783</v>
      </c>
      <c r="B60" s="3" t="s">
        <v>784</v>
      </c>
      <c r="C60" s="3" t="s">
        <v>771</v>
      </c>
      <c r="D60" s="7" t="s">
        <v>16</v>
      </c>
      <c r="E60" s="7" t="s">
        <v>17</v>
      </c>
      <c r="F60" s="4">
        <v>18.864000000000001</v>
      </c>
      <c r="G60" s="4">
        <f t="shared" si="0"/>
        <v>0.96323529411764708</v>
      </c>
      <c r="H60" s="25">
        <f t="shared" si="1"/>
        <v>4.4683257918552176E-2</v>
      </c>
      <c r="I60" s="72" t="s">
        <v>741</v>
      </c>
    </row>
    <row r="61" spans="1:13">
      <c r="A61" s="23"/>
      <c r="B61" s="3"/>
      <c r="C61" s="3"/>
      <c r="D61" s="7" t="s">
        <v>16</v>
      </c>
      <c r="E61" s="7" t="s">
        <v>19</v>
      </c>
      <c r="F61" s="4">
        <v>19.584</v>
      </c>
      <c r="G61" s="4"/>
      <c r="H61" s="25"/>
    </row>
    <row r="62" spans="1:13">
      <c r="A62" s="23" t="s">
        <v>783</v>
      </c>
      <c r="B62" s="3" t="s">
        <v>785</v>
      </c>
      <c r="C62" s="3" t="s">
        <v>30</v>
      </c>
      <c r="D62" s="7" t="s">
        <v>22</v>
      </c>
      <c r="E62" s="7" t="s">
        <v>17</v>
      </c>
      <c r="F62" s="4">
        <v>18.859000000000002</v>
      </c>
      <c r="G62" s="4">
        <f t="shared" si="0"/>
        <v>0.93057337412414898</v>
      </c>
      <c r="H62" s="22">
        <f t="shared" si="1"/>
        <v>-1.8128126684328786E-2</v>
      </c>
      <c r="I62" s="72" t="s">
        <v>741</v>
      </c>
    </row>
    <row r="63" spans="1:13">
      <c r="A63" s="23"/>
      <c r="B63" s="3"/>
      <c r="C63" s="3"/>
      <c r="D63" s="7" t="s">
        <v>22</v>
      </c>
      <c r="E63" s="7" t="s">
        <v>19</v>
      </c>
      <c r="F63" s="4">
        <v>20.265999999999998</v>
      </c>
      <c r="G63" s="4"/>
      <c r="H63" s="22"/>
    </row>
    <row r="64" spans="1:13">
      <c r="A64" s="23" t="s">
        <v>783</v>
      </c>
      <c r="B64" s="3" t="s">
        <v>786</v>
      </c>
      <c r="C64" s="3" t="s">
        <v>775</v>
      </c>
      <c r="D64" s="7" t="s">
        <v>335</v>
      </c>
      <c r="E64" s="7" t="s">
        <v>17</v>
      </c>
      <c r="F64" s="4">
        <v>23.873000000000001</v>
      </c>
      <c r="G64" s="4">
        <f t="shared" si="0"/>
        <v>1.5071338383838384</v>
      </c>
      <c r="H64" s="25">
        <f t="shared" si="1"/>
        <v>1.0906419968919969</v>
      </c>
      <c r="I64" s="72" t="s">
        <v>741</v>
      </c>
    </row>
    <row r="65" spans="1:13">
      <c r="A65" s="23"/>
      <c r="B65" s="3"/>
      <c r="C65" s="3"/>
      <c r="D65" s="7" t="s">
        <v>335</v>
      </c>
      <c r="E65" s="7" t="s">
        <v>19</v>
      </c>
      <c r="F65" s="4">
        <v>15.84</v>
      </c>
      <c r="G65" s="4"/>
      <c r="H65" s="25"/>
    </row>
    <row r="66" spans="1:13">
      <c r="A66" s="23"/>
      <c r="B66" s="3"/>
      <c r="C66" s="3"/>
      <c r="D66" s="7"/>
      <c r="E66" s="7"/>
      <c r="F66" s="4"/>
      <c r="G66" s="4"/>
      <c r="H66" s="179"/>
      <c r="J66" s="146" t="s">
        <v>787</v>
      </c>
      <c r="K66" s="169" t="s">
        <v>788</v>
      </c>
      <c r="L66" s="165">
        <v>44753</v>
      </c>
      <c r="M66" s="181" t="s">
        <v>24</v>
      </c>
    </row>
    <row r="67" spans="1:13">
      <c r="A67" s="23"/>
      <c r="B67" s="3"/>
      <c r="C67" s="3"/>
      <c r="D67" s="7"/>
      <c r="E67" s="7"/>
      <c r="F67" s="4"/>
      <c r="G67" s="4"/>
      <c r="H67" s="179"/>
    </row>
    <row r="68" spans="1:13" s="122" customFormat="1">
      <c r="A68" s="127"/>
      <c r="B68" s="128"/>
      <c r="C68" s="128"/>
      <c r="D68" s="176"/>
      <c r="E68" s="176"/>
      <c r="F68" s="129"/>
      <c r="G68" s="129"/>
      <c r="H68" s="134"/>
      <c r="I68" s="126"/>
      <c r="M68" s="126"/>
    </row>
    <row r="69" spans="1:13" ht="15.75" customHeight="1">
      <c r="A69" s="23" t="s">
        <v>789</v>
      </c>
      <c r="B69" s="3" t="s">
        <v>790</v>
      </c>
      <c r="C69" s="3" t="s">
        <v>15</v>
      </c>
      <c r="D69" s="7" t="s">
        <v>231</v>
      </c>
      <c r="E69" s="7" t="s">
        <v>17</v>
      </c>
      <c r="F69" s="4">
        <v>18.760000000000002</v>
      </c>
      <c r="G69" s="4">
        <f t="shared" si="0"/>
        <v>1.0170777988614801</v>
      </c>
      <c r="H69" s="25">
        <f t="shared" si="1"/>
        <v>0.14822653627207719</v>
      </c>
      <c r="I69" s="72" t="s">
        <v>741</v>
      </c>
    </row>
    <row r="70" spans="1:13" ht="16" customHeight="1">
      <c r="A70" s="23"/>
      <c r="B70" s="3"/>
      <c r="C70" s="3"/>
      <c r="D70" s="7" t="s">
        <v>231</v>
      </c>
      <c r="E70" s="7" t="s">
        <v>19</v>
      </c>
      <c r="F70" s="4">
        <v>18.445</v>
      </c>
      <c r="G70" s="4"/>
      <c r="H70" s="25"/>
    </row>
    <row r="71" spans="1:13">
      <c r="A71" s="23" t="s">
        <v>789</v>
      </c>
      <c r="B71" s="3" t="s">
        <v>791</v>
      </c>
      <c r="C71" s="3" t="s">
        <v>30</v>
      </c>
      <c r="D71" s="7" t="s">
        <v>180</v>
      </c>
      <c r="E71" s="7" t="s">
        <v>17</v>
      </c>
      <c r="F71" s="4">
        <v>18.404</v>
      </c>
      <c r="G71" s="4">
        <f t="shared" si="0"/>
        <v>0.86647834274952928</v>
      </c>
      <c r="H71" s="22">
        <f t="shared" si="1"/>
        <v>-0.14138780240475127</v>
      </c>
      <c r="I71" s="72" t="s">
        <v>741</v>
      </c>
    </row>
    <row r="72" spans="1:13">
      <c r="A72" s="23"/>
      <c r="B72" s="3"/>
      <c r="C72" s="26"/>
      <c r="D72" s="27" t="s">
        <v>180</v>
      </c>
      <c r="E72" s="27" t="s">
        <v>19</v>
      </c>
      <c r="F72" s="28">
        <v>21.24</v>
      </c>
      <c r="G72" s="28"/>
      <c r="H72" s="29"/>
    </row>
    <row r="73" spans="1:13" ht="64">
      <c r="A73" s="182"/>
      <c r="B73" s="182"/>
      <c r="C73" s="182"/>
      <c r="F73" s="51"/>
      <c r="G73" s="51"/>
      <c r="H73" s="183"/>
      <c r="J73" s="146" t="s">
        <v>792</v>
      </c>
      <c r="K73" s="169" t="s">
        <v>789</v>
      </c>
      <c r="L73" s="180">
        <v>44753</v>
      </c>
      <c r="M73" s="149" t="s">
        <v>398</v>
      </c>
    </row>
    <row r="74" spans="1:13">
      <c r="A74" s="182"/>
      <c r="B74" s="182"/>
      <c r="C74" s="182"/>
      <c r="F74" s="51"/>
      <c r="G74" s="51"/>
      <c r="H74" s="183"/>
    </row>
    <row r="75" spans="1:13" s="122" customFormat="1">
      <c r="B75" s="126"/>
      <c r="I75" s="126"/>
      <c r="M75" s="126"/>
    </row>
    <row r="76" spans="1:13">
      <c r="A76" s="3" t="s">
        <v>793</v>
      </c>
      <c r="B76" s="3" t="s">
        <v>794</v>
      </c>
      <c r="C76" s="3" t="s">
        <v>15</v>
      </c>
      <c r="D76" s="7" t="s">
        <v>74</v>
      </c>
      <c r="E76" s="7" t="s">
        <v>17</v>
      </c>
      <c r="F76" s="4">
        <v>20.161999999999999</v>
      </c>
      <c r="G76" s="3">
        <f t="shared" ref="G76:G78" si="2">F76/F77</f>
        <v>1.0640139321336217</v>
      </c>
      <c r="H76" s="42">
        <f t="shared" ref="H76:H78" si="3">(G76-0.94)/0.52</f>
        <v>0.23848833102619571</v>
      </c>
      <c r="I76" s="72" t="s">
        <v>18</v>
      </c>
    </row>
    <row r="77" spans="1:13">
      <c r="A77" s="3"/>
      <c r="B77" s="3"/>
      <c r="C77" s="7"/>
      <c r="D77" s="7" t="s">
        <v>74</v>
      </c>
      <c r="E77" s="7" t="s">
        <v>19</v>
      </c>
      <c r="F77" s="4">
        <v>18.949000000000002</v>
      </c>
      <c r="G77" s="3"/>
      <c r="H77" s="42"/>
    </row>
    <row r="78" spans="1:13" ht="16" customHeight="1">
      <c r="A78" s="3" t="s">
        <v>793</v>
      </c>
      <c r="B78" s="3" t="s">
        <v>795</v>
      </c>
      <c r="C78" s="3" t="s">
        <v>21</v>
      </c>
      <c r="D78" s="7" t="s">
        <v>81</v>
      </c>
      <c r="E78" s="7" t="s">
        <v>17</v>
      </c>
      <c r="F78" s="4">
        <v>18.132000000000001</v>
      </c>
      <c r="G78" s="3">
        <f t="shared" si="2"/>
        <v>0.87085154411411558</v>
      </c>
      <c r="H78" s="41">
        <f t="shared" si="3"/>
        <v>-0.13297779978054686</v>
      </c>
      <c r="I78" s="72" t="s">
        <v>18</v>
      </c>
    </row>
    <row r="79" spans="1:13">
      <c r="A79" s="3"/>
      <c r="B79" s="3"/>
      <c r="C79" s="7"/>
      <c r="D79" s="7" t="s">
        <v>81</v>
      </c>
      <c r="E79" s="7" t="s">
        <v>19</v>
      </c>
      <c r="F79" s="4">
        <v>20.821000000000002</v>
      </c>
      <c r="G79" s="3"/>
      <c r="H79" s="41"/>
    </row>
    <row r="82" spans="1:13" s="122" customFormat="1">
      <c r="B82" s="126"/>
      <c r="I82" s="126"/>
      <c r="M82" s="126"/>
    </row>
    <row r="83" spans="1:13" ht="17">
      <c r="A83" s="192" t="s">
        <v>796</v>
      </c>
      <c r="B83" s="193" t="s">
        <v>797</v>
      </c>
      <c r="C83" s="193" t="s">
        <v>15</v>
      </c>
      <c r="D83" s="193" t="s">
        <v>81</v>
      </c>
      <c r="E83" s="193" t="s">
        <v>17</v>
      </c>
      <c r="F83" s="193">
        <v>19.158999999999999</v>
      </c>
      <c r="G83" s="193">
        <v>0.91372567699999996</v>
      </c>
      <c r="H83" s="194">
        <v>-5.0999999999999997E-2</v>
      </c>
      <c r="I83" s="72" t="s">
        <v>497</v>
      </c>
    </row>
    <row r="84" spans="1:13" ht="17">
      <c r="A84" s="192" t="s">
        <v>29</v>
      </c>
      <c r="B84" s="193" t="s">
        <v>29</v>
      </c>
      <c r="C84" s="193" t="s">
        <v>29</v>
      </c>
      <c r="D84" s="193" t="s">
        <v>81</v>
      </c>
      <c r="E84" s="193" t="s">
        <v>19</v>
      </c>
      <c r="F84" s="193">
        <v>20.968</v>
      </c>
      <c r="G84" s="193" t="s">
        <v>29</v>
      </c>
      <c r="H84" s="195" t="s">
        <v>29</v>
      </c>
    </row>
    <row r="85" spans="1:13" ht="17">
      <c r="A85" s="192" t="s">
        <v>796</v>
      </c>
      <c r="B85" s="193" t="s">
        <v>798</v>
      </c>
      <c r="C85" s="193" t="s">
        <v>30</v>
      </c>
      <c r="D85" s="193" t="s">
        <v>83</v>
      </c>
      <c r="E85" s="193" t="s">
        <v>17</v>
      </c>
      <c r="F85" s="193">
        <v>20.364000000000001</v>
      </c>
      <c r="G85" s="193">
        <v>0.83131939899999996</v>
      </c>
      <c r="H85" s="194">
        <v>-0.20899999999999999</v>
      </c>
      <c r="I85" s="72" t="s">
        <v>497</v>
      </c>
    </row>
    <row r="86" spans="1:13" ht="17">
      <c r="A86" s="192" t="s">
        <v>29</v>
      </c>
      <c r="B86" s="193" t="s">
        <v>29</v>
      </c>
      <c r="C86" s="193" t="s">
        <v>29</v>
      </c>
      <c r="D86" s="193" t="s">
        <v>83</v>
      </c>
      <c r="E86" s="193" t="s">
        <v>19</v>
      </c>
      <c r="F86" s="193">
        <v>24.495999999999999</v>
      </c>
      <c r="G86" s="193" t="s">
        <v>29</v>
      </c>
      <c r="H86" s="195" t="s">
        <v>29</v>
      </c>
    </row>
    <row r="87" spans="1:13" ht="17">
      <c r="A87" s="192" t="s">
        <v>796</v>
      </c>
      <c r="B87" s="193" t="s">
        <v>799</v>
      </c>
      <c r="C87" s="193" t="s">
        <v>33</v>
      </c>
      <c r="D87" s="193" t="s">
        <v>27</v>
      </c>
      <c r="E87" s="193" t="s">
        <v>17</v>
      </c>
      <c r="F87" s="193">
        <v>29.149000000000001</v>
      </c>
      <c r="G87" s="193">
        <v>1.5962433599999999</v>
      </c>
      <c r="H87" s="196">
        <v>1.262</v>
      </c>
      <c r="I87" s="72" t="s">
        <v>497</v>
      </c>
      <c r="K87" s="51"/>
    </row>
    <row r="88" spans="1:13" ht="17">
      <c r="A88" s="192" t="s">
        <v>29</v>
      </c>
      <c r="B88" s="193" t="s">
        <v>29</v>
      </c>
      <c r="C88" s="193" t="s">
        <v>29</v>
      </c>
      <c r="D88" s="193" t="s">
        <v>27</v>
      </c>
      <c r="E88" s="193" t="s">
        <v>19</v>
      </c>
      <c r="F88" s="193">
        <v>18.260999999999999</v>
      </c>
      <c r="G88" s="193" t="s">
        <v>29</v>
      </c>
      <c r="H88" s="197" t="s">
        <v>29</v>
      </c>
    </row>
    <row r="89" spans="1:13" s="313" customFormat="1" ht="17">
      <c r="A89" s="192"/>
      <c r="B89" s="193"/>
      <c r="C89" s="193"/>
      <c r="D89" s="193"/>
      <c r="E89" s="193"/>
      <c r="F89" s="193"/>
      <c r="G89" s="193"/>
      <c r="H89" s="311"/>
      <c r="I89" s="312"/>
      <c r="M89" s="312"/>
    </row>
    <row r="90" spans="1:13" s="313" customFormat="1">
      <c r="A90" s="314"/>
      <c r="B90" s="314"/>
      <c r="C90" s="314"/>
      <c r="D90" s="315"/>
      <c r="E90" s="315"/>
      <c r="F90" s="315"/>
      <c r="G90" s="314"/>
      <c r="H90" s="316"/>
      <c r="I90" s="312"/>
      <c r="M90" s="312"/>
    </row>
    <row r="91" spans="1:13" s="313" customFormat="1">
      <c r="A91" s="315"/>
      <c r="B91" s="315"/>
      <c r="C91" s="315"/>
      <c r="D91" s="315"/>
      <c r="E91" s="315"/>
      <c r="F91" s="315"/>
      <c r="G91" s="314"/>
      <c r="H91" s="316"/>
      <c r="I91" s="312"/>
      <c r="M91" s="312"/>
    </row>
    <row r="92" spans="1:13" s="313" customFormat="1">
      <c r="A92" s="4" t="s">
        <v>800</v>
      </c>
      <c r="B92" s="4" t="s">
        <v>801</v>
      </c>
      <c r="C92" s="4" t="s">
        <v>45</v>
      </c>
      <c r="D92" s="7" t="s">
        <v>89</v>
      </c>
      <c r="E92" s="7" t="s">
        <v>17</v>
      </c>
      <c r="F92" s="7">
        <v>31.741</v>
      </c>
      <c r="G92" s="3">
        <f t="shared" ref="G92" si="4">F92/F93</f>
        <v>1.7814008306207205</v>
      </c>
      <c r="H92" s="189">
        <f t="shared" ref="H92" si="5">(G92-0.94)/0.52</f>
        <v>1.6180785204244625</v>
      </c>
      <c r="I92" s="321" t="s">
        <v>203</v>
      </c>
      <c r="M92" s="312"/>
    </row>
    <row r="93" spans="1:13" s="313" customFormat="1">
      <c r="A93" s="7"/>
      <c r="B93" s="7"/>
      <c r="C93" s="7"/>
      <c r="D93" s="7" t="s">
        <v>89</v>
      </c>
      <c r="E93" s="7" t="s">
        <v>19</v>
      </c>
      <c r="F93" s="7">
        <v>17.818000000000001</v>
      </c>
      <c r="G93" s="3"/>
      <c r="H93" s="189"/>
      <c r="I93" s="312"/>
      <c r="M93" s="312"/>
    </row>
    <row r="94" spans="1:13" s="122" customFormat="1">
      <c r="B94" s="126"/>
      <c r="I94" s="126"/>
      <c r="M94" s="126"/>
    </row>
    <row r="95" spans="1:13" ht="17">
      <c r="A95" s="192" t="s">
        <v>802</v>
      </c>
      <c r="B95" s="193" t="s">
        <v>803</v>
      </c>
      <c r="C95" s="193" t="s">
        <v>15</v>
      </c>
      <c r="D95" s="193" t="s">
        <v>31</v>
      </c>
      <c r="E95" s="193" t="s">
        <v>17</v>
      </c>
      <c r="F95" s="193">
        <v>18.545000000000002</v>
      </c>
      <c r="G95" s="193">
        <v>0.85350699600000002</v>
      </c>
      <c r="H95" s="194">
        <v>-0.16600000000000001</v>
      </c>
      <c r="I95" s="72" t="s">
        <v>497</v>
      </c>
    </row>
    <row r="96" spans="1:13" ht="17">
      <c r="A96" s="192" t="s">
        <v>29</v>
      </c>
      <c r="B96" s="193" t="s">
        <v>29</v>
      </c>
      <c r="C96" s="193" t="s">
        <v>29</v>
      </c>
      <c r="D96" s="193" t="s">
        <v>31</v>
      </c>
      <c r="E96" s="193" t="s">
        <v>19</v>
      </c>
      <c r="F96" s="193">
        <v>21.728000000000002</v>
      </c>
      <c r="G96" s="193" t="s">
        <v>29</v>
      </c>
      <c r="H96" s="195" t="s">
        <v>29</v>
      </c>
    </row>
    <row r="97" spans="1:13" ht="17">
      <c r="A97" s="192" t="s">
        <v>802</v>
      </c>
      <c r="B97" s="193" t="s">
        <v>804</v>
      </c>
      <c r="C97" s="193" t="s">
        <v>30</v>
      </c>
      <c r="D97" s="193" t="s">
        <v>34</v>
      </c>
      <c r="E97" s="193" t="s">
        <v>17</v>
      </c>
      <c r="F97" s="193">
        <v>19.925000000000001</v>
      </c>
      <c r="G97" s="193">
        <v>0.82317702999999998</v>
      </c>
      <c r="H97" s="194">
        <v>-0.22500000000000001</v>
      </c>
      <c r="I97" s="72" t="s">
        <v>497</v>
      </c>
    </row>
    <row r="98" spans="1:13" ht="17">
      <c r="A98" s="192" t="s">
        <v>29</v>
      </c>
      <c r="B98" s="193" t="s">
        <v>29</v>
      </c>
      <c r="C98" s="193" t="s">
        <v>29</v>
      </c>
      <c r="D98" s="193" t="s">
        <v>34</v>
      </c>
      <c r="E98" s="193" t="s">
        <v>19</v>
      </c>
      <c r="F98" s="193">
        <v>24.204999999999998</v>
      </c>
      <c r="G98" s="193" t="s">
        <v>29</v>
      </c>
      <c r="H98" s="195" t="s">
        <v>29</v>
      </c>
    </row>
    <row r="99" spans="1:13" ht="17">
      <c r="A99" s="192" t="s">
        <v>802</v>
      </c>
      <c r="B99" s="193" t="s">
        <v>805</v>
      </c>
      <c r="C99" s="193" t="s">
        <v>33</v>
      </c>
      <c r="D99" s="193" t="s">
        <v>105</v>
      </c>
      <c r="E99" s="193" t="s">
        <v>17</v>
      </c>
      <c r="F99" s="193">
        <v>22.434999999999999</v>
      </c>
      <c r="G99" s="193">
        <v>1.1979389149999999</v>
      </c>
      <c r="H99" s="196">
        <v>0.496</v>
      </c>
      <c r="I99" s="72" t="s">
        <v>497</v>
      </c>
      <c r="J99" s="89" t="s">
        <v>806</v>
      </c>
      <c r="K99" s="89" t="s">
        <v>802</v>
      </c>
      <c r="L99" s="180">
        <v>44839</v>
      </c>
      <c r="M99" s="181" t="s">
        <v>24</v>
      </c>
    </row>
    <row r="100" spans="1:13" ht="17">
      <c r="A100" s="192" t="s">
        <v>29</v>
      </c>
      <c r="B100" s="193" t="s">
        <v>29</v>
      </c>
      <c r="C100" s="193" t="s">
        <v>29</v>
      </c>
      <c r="D100" s="193" t="s">
        <v>105</v>
      </c>
      <c r="E100" s="193" t="s">
        <v>19</v>
      </c>
      <c r="F100" s="193">
        <v>18.728000000000002</v>
      </c>
      <c r="G100" s="193" t="s">
        <v>29</v>
      </c>
      <c r="H100" s="197" t="s">
        <v>29</v>
      </c>
    </row>
    <row r="101" spans="1:13">
      <c r="A101" s="4" t="s">
        <v>807</v>
      </c>
      <c r="B101" s="4" t="s">
        <v>808</v>
      </c>
      <c r="C101" s="4" t="s">
        <v>45</v>
      </c>
      <c r="D101" s="4" t="s">
        <v>112</v>
      </c>
      <c r="E101" s="4" t="s">
        <v>17</v>
      </c>
      <c r="F101" s="4">
        <v>27.707000000000001</v>
      </c>
      <c r="G101" s="3">
        <f t="shared" ref="G101" si="6">F101/F102</f>
        <v>1.4098819458579279</v>
      </c>
      <c r="H101" s="189">
        <f t="shared" ref="H101" si="7">(G101-0.94)/0.52</f>
        <v>0.90361912664986144</v>
      </c>
      <c r="I101" s="72" t="s">
        <v>203</v>
      </c>
    </row>
    <row r="102" spans="1:13">
      <c r="A102" s="4"/>
      <c r="B102" s="4"/>
      <c r="C102" s="4"/>
      <c r="D102" s="4" t="s">
        <v>112</v>
      </c>
      <c r="E102" s="4" t="s">
        <v>19</v>
      </c>
      <c r="F102" s="4">
        <v>19.652000000000001</v>
      </c>
      <c r="G102" s="3"/>
      <c r="H102" s="189"/>
    </row>
    <row r="107" spans="1:13" s="122" customFormat="1">
      <c r="B107" s="126"/>
      <c r="I107" s="126"/>
      <c r="M107" s="126"/>
    </row>
    <row r="108" spans="1:13">
      <c r="A108" s="198" t="s">
        <v>809</v>
      </c>
      <c r="B108" s="199" t="s">
        <v>810</v>
      </c>
      <c r="C108" s="199" t="s">
        <v>15</v>
      </c>
      <c r="D108" s="199" t="s">
        <v>68</v>
      </c>
      <c r="E108" s="199" t="s">
        <v>17</v>
      </c>
      <c r="F108" s="199">
        <v>17.402000000000001</v>
      </c>
      <c r="G108" s="199">
        <v>0.89461237900000001</v>
      </c>
      <c r="H108" s="235">
        <v>-8.6999999999999994E-2</v>
      </c>
      <c r="I108" s="72" t="s">
        <v>28</v>
      </c>
      <c r="J108" s="89" t="s">
        <v>811</v>
      </c>
      <c r="K108" s="89" t="s">
        <v>809</v>
      </c>
      <c r="L108" s="180">
        <v>44839</v>
      </c>
      <c r="M108" s="181" t="s">
        <v>24</v>
      </c>
    </row>
    <row r="109" spans="1:13">
      <c r="A109" s="198" t="s">
        <v>29</v>
      </c>
      <c r="B109" s="199" t="s">
        <v>29</v>
      </c>
      <c r="C109" s="199" t="s">
        <v>29</v>
      </c>
      <c r="D109" s="199" t="s">
        <v>68</v>
      </c>
      <c r="E109" s="199" t="s">
        <v>19</v>
      </c>
      <c r="F109" s="199">
        <v>19.452000000000002</v>
      </c>
      <c r="G109" s="199" t="s">
        <v>29</v>
      </c>
      <c r="H109" s="199" t="s">
        <v>29</v>
      </c>
    </row>
    <row r="110" spans="1:13">
      <c r="A110" s="198" t="s">
        <v>809</v>
      </c>
      <c r="B110" s="199" t="s">
        <v>812</v>
      </c>
      <c r="C110" s="199" t="s">
        <v>30</v>
      </c>
      <c r="D110" s="199" t="s">
        <v>71</v>
      </c>
      <c r="E110" s="199" t="s">
        <v>17</v>
      </c>
      <c r="F110" s="199">
        <v>18.376999999999999</v>
      </c>
      <c r="G110" s="199">
        <v>0.91884999999999994</v>
      </c>
      <c r="H110" s="235">
        <v>-4.1000000000000002E-2</v>
      </c>
      <c r="I110" s="72" t="s">
        <v>28</v>
      </c>
    </row>
    <row r="111" spans="1:13">
      <c r="A111" s="198" t="s">
        <v>29</v>
      </c>
      <c r="B111" s="199" t="s">
        <v>29</v>
      </c>
      <c r="C111" s="199" t="s">
        <v>29</v>
      </c>
      <c r="D111" s="199" t="s">
        <v>71</v>
      </c>
      <c r="E111" s="199" t="s">
        <v>19</v>
      </c>
      <c r="F111" s="199">
        <v>20</v>
      </c>
      <c r="G111" s="199" t="s">
        <v>29</v>
      </c>
      <c r="H111" s="199" t="s">
        <v>29</v>
      </c>
    </row>
    <row r="112" spans="1:13">
      <c r="A112" s="198" t="s">
        <v>809</v>
      </c>
      <c r="B112" s="199" t="s">
        <v>813</v>
      </c>
      <c r="C112" s="199" t="s">
        <v>33</v>
      </c>
      <c r="D112" s="199" t="s">
        <v>74</v>
      </c>
      <c r="E112" s="199" t="s">
        <v>17</v>
      </c>
      <c r="F112" s="199">
        <v>21.016999999999999</v>
      </c>
      <c r="G112" s="199">
        <v>1.229423808</v>
      </c>
      <c r="H112" s="233">
        <v>0.55700000000000005</v>
      </c>
      <c r="I112" s="72" t="s">
        <v>28</v>
      </c>
    </row>
    <row r="113" spans="1:13">
      <c r="A113" s="198" t="s">
        <v>29</v>
      </c>
      <c r="B113" s="199" t="s">
        <v>29</v>
      </c>
      <c r="C113" s="199" t="s">
        <v>29</v>
      </c>
      <c r="D113" s="199" t="s">
        <v>74</v>
      </c>
      <c r="E113" s="199" t="s">
        <v>19</v>
      </c>
      <c r="F113" s="199">
        <v>17.094999999999999</v>
      </c>
      <c r="G113" s="199" t="s">
        <v>29</v>
      </c>
      <c r="H113" s="199" t="s">
        <v>29</v>
      </c>
    </row>
    <row r="114" spans="1:13">
      <c r="A114" s="4" t="s">
        <v>814</v>
      </c>
      <c r="B114" s="4" t="s">
        <v>810</v>
      </c>
      <c r="C114" s="4" t="s">
        <v>38</v>
      </c>
      <c r="D114" s="7" t="s">
        <v>231</v>
      </c>
      <c r="E114" s="7" t="s">
        <v>17</v>
      </c>
      <c r="F114" s="7">
        <v>17.478999999999999</v>
      </c>
      <c r="G114" s="3">
        <f t="shared" ref="G114:G116" si="8">F114/F115</f>
        <v>0.83940834653988372</v>
      </c>
      <c r="H114" s="189">
        <f t="shared" ref="H114:H116" si="9">(G114-0.94)/0.52</f>
        <v>-0.19344548742330042</v>
      </c>
      <c r="I114" s="72" t="s">
        <v>203</v>
      </c>
    </row>
    <row r="115" spans="1:13">
      <c r="A115" s="7"/>
      <c r="B115" s="7"/>
      <c r="C115" s="7"/>
      <c r="D115" s="7" t="s">
        <v>231</v>
      </c>
      <c r="E115" s="7" t="s">
        <v>19</v>
      </c>
      <c r="F115" s="7">
        <v>20.823</v>
      </c>
      <c r="G115" s="3"/>
      <c r="H115" s="189"/>
    </row>
    <row r="116" spans="1:13">
      <c r="A116" s="4" t="s">
        <v>814</v>
      </c>
      <c r="B116" s="4" t="s">
        <v>812</v>
      </c>
      <c r="C116" s="4" t="s">
        <v>21</v>
      </c>
      <c r="D116" s="7" t="s">
        <v>180</v>
      </c>
      <c r="E116" s="7" t="s">
        <v>17</v>
      </c>
      <c r="F116" s="7">
        <v>18.574999999999999</v>
      </c>
      <c r="G116" s="3">
        <f t="shared" si="8"/>
        <v>0.77687160184023418</v>
      </c>
      <c r="H116" s="189">
        <f t="shared" si="9"/>
        <v>-0.31370845799954955</v>
      </c>
      <c r="I116" s="72" t="s">
        <v>203</v>
      </c>
      <c r="J116" s="146" t="s">
        <v>815</v>
      </c>
      <c r="K116" s="146" t="s">
        <v>814</v>
      </c>
      <c r="L116" s="180">
        <v>44980</v>
      </c>
      <c r="M116" s="317" t="s">
        <v>24</v>
      </c>
    </row>
    <row r="117" spans="1:13">
      <c r="A117" s="7"/>
      <c r="B117" s="7"/>
      <c r="C117" s="7"/>
      <c r="D117" s="7" t="s">
        <v>180</v>
      </c>
      <c r="E117" s="7" t="s">
        <v>19</v>
      </c>
      <c r="F117" s="7">
        <v>23.91</v>
      </c>
      <c r="G117" s="3"/>
      <c r="H117" s="189"/>
    </row>
    <row r="118" spans="1:13">
      <c r="A118" s="325" t="s">
        <v>814</v>
      </c>
      <c r="B118" s="325" t="s">
        <v>816</v>
      </c>
      <c r="C118" s="325" t="s">
        <v>45</v>
      </c>
      <c r="D118" s="3" t="s">
        <v>182</v>
      </c>
      <c r="E118" s="3" t="s">
        <v>17</v>
      </c>
      <c r="F118" s="3">
        <v>20.463999999999999</v>
      </c>
      <c r="G118" s="3">
        <f t="shared" ref="G118" si="10">F118/F119</f>
        <v>1.0333266006867299</v>
      </c>
      <c r="H118" s="308">
        <f t="shared" ref="H118" si="11">(G118-0.94)/0.52</f>
        <v>0.17947423208986524</v>
      </c>
      <c r="I118" s="72" t="s">
        <v>232</v>
      </c>
    </row>
    <row r="119" spans="1:13">
      <c r="A119" s="7"/>
      <c r="B119" s="7"/>
      <c r="C119" s="7"/>
      <c r="D119" s="3" t="s">
        <v>182</v>
      </c>
      <c r="E119" s="3" t="s">
        <v>19</v>
      </c>
      <c r="F119" s="3">
        <v>19.803999999999998</v>
      </c>
      <c r="G119" s="3"/>
      <c r="H119" s="308"/>
    </row>
    <row r="120" spans="1:13" s="122" customFormat="1">
      <c r="B120" s="126"/>
      <c r="I120" s="126"/>
      <c r="M120" s="126"/>
    </row>
    <row r="121" spans="1:13">
      <c r="A121" s="198" t="s">
        <v>817</v>
      </c>
      <c r="B121" s="199" t="s">
        <v>818</v>
      </c>
      <c r="C121" s="199" t="s">
        <v>15</v>
      </c>
      <c r="D121" s="199" t="s">
        <v>81</v>
      </c>
      <c r="E121" s="199" t="s">
        <v>17</v>
      </c>
      <c r="F121" s="199">
        <v>17.259</v>
      </c>
      <c r="G121" s="199">
        <v>0.89951529699999999</v>
      </c>
      <c r="H121" s="235">
        <v>-7.8E-2</v>
      </c>
      <c r="I121" s="72" t="s">
        <v>28</v>
      </c>
      <c r="J121" s="4" t="s">
        <v>819</v>
      </c>
      <c r="K121" s="221" t="s">
        <v>817</v>
      </c>
      <c r="L121" s="180">
        <v>44859</v>
      </c>
      <c r="M121" s="214" t="s">
        <v>24</v>
      </c>
    </row>
    <row r="122" spans="1:13">
      <c r="A122" s="198" t="s">
        <v>29</v>
      </c>
      <c r="B122" s="199" t="s">
        <v>29</v>
      </c>
      <c r="C122" s="199" t="s">
        <v>29</v>
      </c>
      <c r="D122" s="199" t="s">
        <v>81</v>
      </c>
      <c r="E122" s="199" t="s">
        <v>19</v>
      </c>
      <c r="F122" s="199">
        <v>19.187000000000001</v>
      </c>
      <c r="G122" s="199" t="s">
        <v>29</v>
      </c>
      <c r="H122" s="199" t="s">
        <v>29</v>
      </c>
    </row>
    <row r="123" spans="1:13">
      <c r="A123" s="198" t="s">
        <v>817</v>
      </c>
      <c r="B123" s="199" t="s">
        <v>820</v>
      </c>
      <c r="C123" s="199" t="s">
        <v>30</v>
      </c>
      <c r="D123" s="199" t="s">
        <v>83</v>
      </c>
      <c r="E123" s="199" t="s">
        <v>17</v>
      </c>
      <c r="F123" s="199">
        <v>18.879000000000001</v>
      </c>
      <c r="G123" s="199">
        <v>0.89964260200000001</v>
      </c>
      <c r="H123" s="235">
        <v>-7.8E-2</v>
      </c>
      <c r="I123" s="72" t="s">
        <v>28</v>
      </c>
    </row>
    <row r="124" spans="1:13">
      <c r="A124" s="198" t="s">
        <v>29</v>
      </c>
      <c r="B124" s="199" t="s">
        <v>29</v>
      </c>
      <c r="C124" s="199" t="s">
        <v>29</v>
      </c>
      <c r="D124" s="199" t="s">
        <v>83</v>
      </c>
      <c r="E124" s="199" t="s">
        <v>19</v>
      </c>
      <c r="F124" s="199">
        <v>20.984999999999999</v>
      </c>
      <c r="G124" s="199" t="s">
        <v>29</v>
      </c>
      <c r="H124" s="199" t="s">
        <v>29</v>
      </c>
    </row>
    <row r="127" spans="1:13" s="122" customFormat="1">
      <c r="B127" s="126"/>
      <c r="I127" s="126"/>
      <c r="M127" s="126"/>
    </row>
    <row r="128" spans="1:13">
      <c r="A128" s="198" t="s">
        <v>821</v>
      </c>
      <c r="B128" s="199" t="s">
        <v>822</v>
      </c>
      <c r="C128" s="199" t="s">
        <v>38</v>
      </c>
      <c r="D128" s="199" t="s">
        <v>180</v>
      </c>
      <c r="E128" s="199" t="s">
        <v>17</v>
      </c>
      <c r="F128" s="199">
        <v>16.876000000000001</v>
      </c>
      <c r="G128" s="199">
        <v>0.85508715000000002</v>
      </c>
      <c r="H128" s="254">
        <v>-0.16300000000000001</v>
      </c>
      <c r="I128" s="72" t="s">
        <v>524</v>
      </c>
    </row>
    <row r="129" spans="1:13">
      <c r="A129" s="198" t="s">
        <v>29</v>
      </c>
      <c r="B129" s="199" t="s">
        <v>29</v>
      </c>
      <c r="C129" s="199" t="s">
        <v>29</v>
      </c>
      <c r="D129" s="199" t="s">
        <v>180</v>
      </c>
      <c r="E129" s="199" t="s">
        <v>19</v>
      </c>
      <c r="F129" s="199">
        <v>19.736000000000001</v>
      </c>
      <c r="G129" s="199" t="s">
        <v>29</v>
      </c>
      <c r="H129" s="253" t="s">
        <v>29</v>
      </c>
    </row>
    <row r="130" spans="1:13">
      <c r="A130" s="198" t="s">
        <v>821</v>
      </c>
      <c r="B130" s="199" t="s">
        <v>823</v>
      </c>
      <c r="C130" s="199" t="s">
        <v>21</v>
      </c>
      <c r="D130" s="199" t="s">
        <v>281</v>
      </c>
      <c r="E130" s="199" t="s">
        <v>17</v>
      </c>
      <c r="F130" s="199">
        <v>19.161000000000001</v>
      </c>
      <c r="G130" s="199">
        <v>0.870203006</v>
      </c>
      <c r="H130" s="254">
        <v>-0.13400000000000001</v>
      </c>
      <c r="I130" s="72" t="s">
        <v>524</v>
      </c>
      <c r="J130" s="4" t="s">
        <v>824</v>
      </c>
      <c r="K130" s="221" t="s">
        <v>821</v>
      </c>
      <c r="L130" s="180">
        <v>44893</v>
      </c>
      <c r="M130" s="214" t="s">
        <v>24</v>
      </c>
    </row>
    <row r="131" spans="1:13">
      <c r="A131" s="198" t="s">
        <v>29</v>
      </c>
      <c r="B131" s="199" t="s">
        <v>29</v>
      </c>
      <c r="C131" s="199" t="s">
        <v>29</v>
      </c>
      <c r="D131" s="199" t="s">
        <v>281</v>
      </c>
      <c r="E131" s="199" t="s">
        <v>19</v>
      </c>
      <c r="F131" s="199">
        <v>22.018999999999998</v>
      </c>
      <c r="G131" s="199" t="s">
        <v>29</v>
      </c>
      <c r="H131" s="253" t="s">
        <v>29</v>
      </c>
    </row>
    <row r="132" spans="1:13">
      <c r="A132" s="4" t="s">
        <v>825</v>
      </c>
      <c r="B132" s="4" t="s">
        <v>826</v>
      </c>
      <c r="C132" s="4" t="s">
        <v>45</v>
      </c>
      <c r="D132" s="7" t="s">
        <v>108</v>
      </c>
      <c r="E132" s="7" t="s">
        <v>17</v>
      </c>
      <c r="F132" s="7">
        <v>29.312999999999999</v>
      </c>
      <c r="G132" s="3">
        <f t="shared" ref="G132" si="12">F132/F133</f>
        <v>1.6068961736651681</v>
      </c>
      <c r="H132" s="189">
        <f t="shared" ref="H132" si="13">(G132-0.94)/0.52</f>
        <v>1.282492641663785</v>
      </c>
      <c r="I132" s="72" t="s">
        <v>203</v>
      </c>
    </row>
    <row r="133" spans="1:13">
      <c r="A133" s="7"/>
      <c r="B133" s="7"/>
      <c r="C133" s="7"/>
      <c r="D133" s="7" t="s">
        <v>108</v>
      </c>
      <c r="E133" s="7" t="s">
        <v>19</v>
      </c>
      <c r="F133" s="7">
        <v>18.242000000000001</v>
      </c>
      <c r="G133" s="3"/>
      <c r="H133" s="189"/>
    </row>
    <row r="134" spans="1:13" s="122" customFormat="1">
      <c r="B134" s="126"/>
      <c r="I134" s="126"/>
      <c r="M134" s="126"/>
    </row>
    <row r="135" spans="1:13">
      <c r="A135" s="68" t="s">
        <v>827</v>
      </c>
      <c r="B135" s="66" t="s">
        <v>818</v>
      </c>
      <c r="C135" s="66" t="s">
        <v>38</v>
      </c>
      <c r="D135" s="66" t="s">
        <v>16</v>
      </c>
      <c r="E135" s="66" t="s">
        <v>17</v>
      </c>
      <c r="F135" s="66">
        <v>16.544</v>
      </c>
      <c r="G135" s="66">
        <v>0.88182932700000005</v>
      </c>
      <c r="H135" s="247">
        <v>-0.112</v>
      </c>
      <c r="I135" s="72" t="s">
        <v>78</v>
      </c>
    </row>
    <row r="136" spans="1:13">
      <c r="A136" s="70" t="s">
        <v>29</v>
      </c>
      <c r="B136" s="65" t="s">
        <v>29</v>
      </c>
      <c r="C136" s="65" t="s">
        <v>29</v>
      </c>
      <c r="D136" s="65" t="s">
        <v>16</v>
      </c>
      <c r="E136" s="65" t="s">
        <v>19</v>
      </c>
      <c r="F136" s="65">
        <v>18.760999999999999</v>
      </c>
      <c r="G136" s="65" t="s">
        <v>29</v>
      </c>
      <c r="H136" s="65" t="s">
        <v>29</v>
      </c>
    </row>
    <row r="137" spans="1:13">
      <c r="A137" s="70" t="s">
        <v>827</v>
      </c>
      <c r="B137" s="65" t="s">
        <v>820</v>
      </c>
      <c r="C137" s="65" t="s">
        <v>21</v>
      </c>
      <c r="D137" s="65" t="s">
        <v>22</v>
      </c>
      <c r="E137" s="65" t="s">
        <v>17</v>
      </c>
      <c r="F137" s="65">
        <v>17.087</v>
      </c>
      <c r="G137" s="65">
        <v>0.82046480399999999</v>
      </c>
      <c r="H137" s="247">
        <v>-0.23</v>
      </c>
      <c r="I137" s="72" t="s">
        <v>78</v>
      </c>
    </row>
    <row r="138" spans="1:13">
      <c r="A138" s="70" t="s">
        <v>29</v>
      </c>
      <c r="B138" s="65" t="s">
        <v>29</v>
      </c>
      <c r="C138" s="65" t="s">
        <v>29</v>
      </c>
      <c r="D138" s="65" t="s">
        <v>22</v>
      </c>
      <c r="E138" s="65" t="s">
        <v>19</v>
      </c>
      <c r="F138" s="65">
        <v>20.826000000000001</v>
      </c>
      <c r="G138" s="65" t="s">
        <v>29</v>
      </c>
      <c r="H138" s="65" t="s">
        <v>29</v>
      </c>
    </row>
    <row r="139" spans="1:13">
      <c r="A139" s="268" t="s">
        <v>827</v>
      </c>
      <c r="B139" s="269" t="s">
        <v>828</v>
      </c>
      <c r="C139" s="269" t="s">
        <v>45</v>
      </c>
      <c r="D139" s="66" t="s">
        <v>34</v>
      </c>
      <c r="E139" s="66" t="s">
        <v>17</v>
      </c>
      <c r="F139" s="66">
        <v>26.001000000000001</v>
      </c>
      <c r="G139" s="66">
        <v>1.2743714159999999</v>
      </c>
      <c r="H139" s="249">
        <v>0.64300000000000002</v>
      </c>
      <c r="I139" s="72" t="s">
        <v>269</v>
      </c>
    </row>
    <row r="140" spans="1:13">
      <c r="A140" s="70" t="s">
        <v>29</v>
      </c>
      <c r="B140" s="65" t="s">
        <v>29</v>
      </c>
      <c r="C140" s="65" t="s">
        <v>29</v>
      </c>
      <c r="D140" s="65" t="s">
        <v>34</v>
      </c>
      <c r="E140" s="65" t="s">
        <v>19</v>
      </c>
      <c r="F140" s="65">
        <v>20.402999999999999</v>
      </c>
      <c r="G140" s="65" t="s">
        <v>29</v>
      </c>
      <c r="H140" s="65" t="s">
        <v>29</v>
      </c>
    </row>
    <row r="143" spans="1:13" s="122" customFormat="1">
      <c r="B143" s="126"/>
      <c r="I143" s="126"/>
      <c r="M143" s="126"/>
    </row>
    <row r="154" spans="1:9">
      <c r="A154" s="198" t="s">
        <v>829</v>
      </c>
      <c r="B154" s="199" t="s">
        <v>830</v>
      </c>
      <c r="C154" s="199" t="s">
        <v>38</v>
      </c>
      <c r="D154" s="199" t="s">
        <v>242</v>
      </c>
      <c r="E154" s="199" t="s">
        <v>17</v>
      </c>
      <c r="F154" s="199">
        <v>19.242000000000001</v>
      </c>
      <c r="G154" s="199">
        <v>0.97759487899999997</v>
      </c>
      <c r="H154" s="252">
        <v>7.1999999999999995E-2</v>
      </c>
      <c r="I154" s="72" t="s">
        <v>524</v>
      </c>
    </row>
    <row r="155" spans="1:9">
      <c r="A155" s="198" t="s">
        <v>29</v>
      </c>
      <c r="B155" s="199" t="s">
        <v>29</v>
      </c>
      <c r="C155" s="199" t="s">
        <v>29</v>
      </c>
      <c r="D155" s="199" t="s">
        <v>242</v>
      </c>
      <c r="E155" s="199" t="s">
        <v>19</v>
      </c>
      <c r="F155" s="199">
        <v>19.683</v>
      </c>
      <c r="G155" s="199" t="s">
        <v>29</v>
      </c>
      <c r="H155" s="253" t="s">
        <v>29</v>
      </c>
    </row>
    <row r="156" spans="1:9">
      <c r="A156" s="198" t="s">
        <v>829</v>
      </c>
      <c r="B156" s="199" t="s">
        <v>831</v>
      </c>
      <c r="C156" s="199" t="s">
        <v>21</v>
      </c>
      <c r="D156" s="199" t="s">
        <v>299</v>
      </c>
      <c r="E156" s="199" t="s">
        <v>17</v>
      </c>
      <c r="F156" s="199">
        <v>18.550999999999998</v>
      </c>
      <c r="G156" s="199">
        <v>0.91996032699999997</v>
      </c>
      <c r="H156" s="254">
        <v>-3.9E-2</v>
      </c>
      <c r="I156" s="72" t="s">
        <v>524</v>
      </c>
    </row>
    <row r="157" spans="1:9">
      <c r="A157" s="198" t="s">
        <v>29</v>
      </c>
      <c r="B157" s="199" t="s">
        <v>29</v>
      </c>
      <c r="C157" s="199" t="s">
        <v>29</v>
      </c>
      <c r="D157" s="199" t="s">
        <v>299</v>
      </c>
      <c r="E157" s="199" t="s">
        <v>19</v>
      </c>
      <c r="F157" s="199">
        <v>20.164999999999999</v>
      </c>
      <c r="G157" s="199" t="s">
        <v>29</v>
      </c>
      <c r="H157" s="253" t="s">
        <v>29</v>
      </c>
    </row>
    <row r="158" spans="1:9">
      <c r="A158" s="51"/>
      <c r="C158" s="51"/>
      <c r="D158" s="51"/>
      <c r="E158" s="51"/>
      <c r="F158" s="51"/>
      <c r="G158" s="51"/>
      <c r="H158" s="51"/>
    </row>
    <row r="159" spans="1:9">
      <c r="A159" s="68" t="s">
        <v>832</v>
      </c>
      <c r="B159" s="66" t="s">
        <v>830</v>
      </c>
      <c r="C159" s="66" t="s">
        <v>771</v>
      </c>
      <c r="D159" s="66" t="s">
        <v>68</v>
      </c>
      <c r="E159" s="66" t="s">
        <v>17</v>
      </c>
      <c r="F159" s="66">
        <v>19.992999999999999</v>
      </c>
      <c r="G159" s="66">
        <v>0.90906197399999999</v>
      </c>
      <c r="H159" s="276">
        <v>-5.8999999999999997E-2</v>
      </c>
      <c r="I159" s="72" t="s">
        <v>123</v>
      </c>
    </row>
    <row r="160" spans="1:9">
      <c r="A160" s="70" t="s">
        <v>29</v>
      </c>
      <c r="B160" s="65" t="s">
        <v>29</v>
      </c>
      <c r="C160" s="65" t="s">
        <v>29</v>
      </c>
      <c r="D160" s="65" t="s">
        <v>68</v>
      </c>
      <c r="E160" s="65" t="s">
        <v>19</v>
      </c>
      <c r="F160" s="65">
        <v>21.992999999999999</v>
      </c>
      <c r="G160" s="65" t="s">
        <v>29</v>
      </c>
      <c r="H160" s="65" t="s">
        <v>29</v>
      </c>
    </row>
    <row r="161" spans="1:13">
      <c r="A161" s="70" t="s">
        <v>832</v>
      </c>
      <c r="B161" s="65" t="s">
        <v>831</v>
      </c>
      <c r="C161" s="65" t="s">
        <v>30</v>
      </c>
      <c r="D161" s="65" t="s">
        <v>71</v>
      </c>
      <c r="E161" s="65" t="s">
        <v>17</v>
      </c>
      <c r="F161" s="65">
        <v>20.138000000000002</v>
      </c>
      <c r="G161" s="65">
        <v>0.89007734800000005</v>
      </c>
      <c r="H161" s="276">
        <v>-9.6000000000000002E-2</v>
      </c>
      <c r="I161" s="72" t="s">
        <v>123</v>
      </c>
      <c r="J161" s="291" t="s">
        <v>833</v>
      </c>
      <c r="K161" s="291" t="s">
        <v>834</v>
      </c>
      <c r="L161" s="180">
        <v>44966</v>
      </c>
      <c r="M161" s="297" t="s">
        <v>24</v>
      </c>
    </row>
    <row r="162" spans="1:13">
      <c r="A162" s="70" t="s">
        <v>29</v>
      </c>
      <c r="B162" s="65" t="s">
        <v>29</v>
      </c>
      <c r="C162" s="65" t="s">
        <v>29</v>
      </c>
      <c r="D162" s="65" t="s">
        <v>71</v>
      </c>
      <c r="E162" s="65" t="s">
        <v>19</v>
      </c>
      <c r="F162" s="65">
        <v>22.625</v>
      </c>
      <c r="G162" s="65" t="s">
        <v>29</v>
      </c>
      <c r="H162" s="65" t="s">
        <v>29</v>
      </c>
    </row>
    <row r="163" spans="1:13">
      <c r="A163" s="68" t="s">
        <v>835</v>
      </c>
      <c r="B163" s="66" t="s">
        <v>836</v>
      </c>
      <c r="C163" s="66" t="s">
        <v>45</v>
      </c>
      <c r="D163" s="66" t="s">
        <v>16</v>
      </c>
      <c r="E163" s="66" t="s">
        <v>17</v>
      </c>
      <c r="F163" s="66">
        <v>21.15</v>
      </c>
      <c r="G163" s="66">
        <v>1.1176284080000001</v>
      </c>
      <c r="H163" s="249">
        <v>0.34200000000000003</v>
      </c>
      <c r="I163" s="72" t="s">
        <v>131</v>
      </c>
    </row>
    <row r="164" spans="1:13">
      <c r="A164" s="70" t="s">
        <v>29</v>
      </c>
      <c r="B164" s="65" t="s">
        <v>29</v>
      </c>
      <c r="C164" s="65" t="s">
        <v>29</v>
      </c>
      <c r="D164" s="65" t="s">
        <v>16</v>
      </c>
      <c r="E164" s="65" t="s">
        <v>19</v>
      </c>
      <c r="F164" s="65">
        <v>18.923999999999999</v>
      </c>
      <c r="G164" s="65" t="s">
        <v>29</v>
      </c>
      <c r="H164" s="65" t="s">
        <v>29</v>
      </c>
    </row>
    <row r="165" spans="1:13" s="122" customFormat="1">
      <c r="B165" s="126"/>
      <c r="I165" s="126"/>
      <c r="M165" s="126"/>
    </row>
    <row r="167" spans="1:13" s="51" customFormat="1">
      <c r="A167" s="68" t="s">
        <v>837</v>
      </c>
      <c r="B167" s="66" t="s">
        <v>838</v>
      </c>
      <c r="C167" s="66" t="s">
        <v>38</v>
      </c>
      <c r="D167" s="66" t="s">
        <v>335</v>
      </c>
      <c r="E167" s="66" t="s">
        <v>17</v>
      </c>
      <c r="F167" s="66">
        <v>15.874000000000001</v>
      </c>
      <c r="G167" s="66">
        <v>0.78216309399999995</v>
      </c>
      <c r="H167" s="247">
        <v>-0.30399999999999999</v>
      </c>
      <c r="I167" s="72" t="s">
        <v>78</v>
      </c>
    </row>
    <row r="168" spans="1:13" s="51" customFormat="1">
      <c r="A168" s="70" t="s">
        <v>29</v>
      </c>
      <c r="B168" s="65" t="s">
        <v>29</v>
      </c>
      <c r="C168" s="65" t="s">
        <v>29</v>
      </c>
      <c r="D168" s="65" t="s">
        <v>335</v>
      </c>
      <c r="E168" s="65" t="s">
        <v>19</v>
      </c>
      <c r="F168" s="65">
        <v>20.295000000000002</v>
      </c>
      <c r="G168" s="65" t="s">
        <v>29</v>
      </c>
      <c r="H168" s="65" t="s">
        <v>29</v>
      </c>
    </row>
    <row r="169" spans="1:13" s="51" customFormat="1">
      <c r="A169" s="70" t="s">
        <v>837</v>
      </c>
      <c r="B169" s="65" t="s">
        <v>839</v>
      </c>
      <c r="C169" s="65" t="s">
        <v>21</v>
      </c>
      <c r="D169" s="65" t="s">
        <v>231</v>
      </c>
      <c r="E169" s="65" t="s">
        <v>17</v>
      </c>
      <c r="F169" s="65">
        <v>17.154</v>
      </c>
      <c r="G169" s="65">
        <v>0.777078143</v>
      </c>
      <c r="H169" s="247">
        <v>-0.313</v>
      </c>
      <c r="I169" s="72" t="s">
        <v>78</v>
      </c>
    </row>
    <row r="170" spans="1:13" s="51" customFormat="1">
      <c r="A170" s="70" t="s">
        <v>29</v>
      </c>
      <c r="B170" s="65" t="s">
        <v>29</v>
      </c>
      <c r="C170" s="65" t="s">
        <v>29</v>
      </c>
      <c r="D170" s="65" t="s">
        <v>231</v>
      </c>
      <c r="E170" s="65" t="s">
        <v>19</v>
      </c>
      <c r="F170" s="65">
        <v>22.074999999999999</v>
      </c>
      <c r="G170" s="65" t="s">
        <v>29</v>
      </c>
      <c r="H170" s="65" t="s">
        <v>29</v>
      </c>
    </row>
    <row r="173" spans="1:13">
      <c r="A173" s="268" t="s">
        <v>840</v>
      </c>
      <c r="B173" s="269" t="s">
        <v>838</v>
      </c>
      <c r="C173" s="269" t="s">
        <v>38</v>
      </c>
      <c r="D173" s="66" t="s">
        <v>105</v>
      </c>
      <c r="E173" s="66" t="s">
        <v>17</v>
      </c>
      <c r="F173" s="66">
        <v>16.547000000000001</v>
      </c>
      <c r="G173" s="66">
        <v>0.88340184700000002</v>
      </c>
      <c r="H173" s="247">
        <v>-0.109</v>
      </c>
      <c r="I173" s="72" t="s">
        <v>269</v>
      </c>
    </row>
    <row r="174" spans="1:13">
      <c r="A174" s="70" t="s">
        <v>29</v>
      </c>
      <c r="B174" s="65" t="s">
        <v>29</v>
      </c>
      <c r="C174" s="65" t="s">
        <v>29</v>
      </c>
      <c r="D174" s="65" t="s">
        <v>105</v>
      </c>
      <c r="E174" s="65" t="s">
        <v>19</v>
      </c>
      <c r="F174" s="65">
        <v>18.731000000000002</v>
      </c>
      <c r="G174" s="65" t="s">
        <v>29</v>
      </c>
      <c r="H174" s="65" t="s">
        <v>29</v>
      </c>
    </row>
    <row r="175" spans="1:13">
      <c r="A175" s="270" t="s">
        <v>840</v>
      </c>
      <c r="B175" s="271" t="s">
        <v>839</v>
      </c>
      <c r="C175" s="271" t="s">
        <v>21</v>
      </c>
      <c r="D175" s="65" t="s">
        <v>59</v>
      </c>
      <c r="E175" s="65" t="s">
        <v>17</v>
      </c>
      <c r="F175" s="65">
        <v>17.03</v>
      </c>
      <c r="G175" s="65">
        <v>0.78908349600000005</v>
      </c>
      <c r="H175" s="247">
        <v>-0.28999999999999998</v>
      </c>
      <c r="I175" s="72" t="s">
        <v>269</v>
      </c>
    </row>
    <row r="176" spans="1:13">
      <c r="A176" s="70" t="s">
        <v>29</v>
      </c>
      <c r="B176" s="65" t="s">
        <v>29</v>
      </c>
      <c r="C176" s="65" t="s">
        <v>29</v>
      </c>
      <c r="D176" s="65" t="s">
        <v>59</v>
      </c>
      <c r="E176" s="65" t="s">
        <v>19</v>
      </c>
      <c r="F176" s="65">
        <v>21.582000000000001</v>
      </c>
      <c r="G176" s="65" t="s">
        <v>29</v>
      </c>
      <c r="H176" s="65" t="s">
        <v>29</v>
      </c>
    </row>
    <row r="177" spans="1:13">
      <c r="A177" s="270" t="s">
        <v>840</v>
      </c>
      <c r="B177" s="271" t="s">
        <v>841</v>
      </c>
      <c r="C177" s="271" t="s">
        <v>45</v>
      </c>
      <c r="D177" s="65" t="s">
        <v>49</v>
      </c>
      <c r="E177" s="65" t="s">
        <v>17</v>
      </c>
      <c r="F177" s="65">
        <v>17.349</v>
      </c>
      <c r="G177" s="65">
        <v>0.91851969499999997</v>
      </c>
      <c r="H177" s="247">
        <v>-4.1000000000000002E-2</v>
      </c>
      <c r="I177" s="72" t="s">
        <v>269</v>
      </c>
    </row>
    <row r="178" spans="1:13">
      <c r="A178" s="70" t="s">
        <v>29</v>
      </c>
      <c r="B178" s="65" t="s">
        <v>29</v>
      </c>
      <c r="C178" s="65" t="s">
        <v>29</v>
      </c>
      <c r="D178" s="65" t="s">
        <v>49</v>
      </c>
      <c r="E178" s="65" t="s">
        <v>19</v>
      </c>
      <c r="F178" s="65">
        <v>18.888000000000002</v>
      </c>
      <c r="G178" s="65" t="s">
        <v>29</v>
      </c>
      <c r="H178" s="65" t="s">
        <v>29</v>
      </c>
    </row>
    <row r="179" spans="1:13" s="122" customFormat="1">
      <c r="B179" s="126"/>
      <c r="I179" s="126"/>
      <c r="M179" s="126"/>
    </row>
    <row r="180" spans="1:13">
      <c r="A180" s="268" t="s">
        <v>842</v>
      </c>
      <c r="B180" s="269" t="s">
        <v>843</v>
      </c>
      <c r="C180" s="269" t="s">
        <v>38</v>
      </c>
      <c r="D180" s="66" t="s">
        <v>52</v>
      </c>
      <c r="E180" s="66" t="s">
        <v>17</v>
      </c>
      <c r="F180" s="66">
        <v>18.818999999999999</v>
      </c>
      <c r="G180" s="66">
        <v>0.95571580899999997</v>
      </c>
      <c r="H180" s="249">
        <v>0.03</v>
      </c>
      <c r="I180" s="72" t="s">
        <v>269</v>
      </c>
    </row>
    <row r="181" spans="1:13">
      <c r="A181" s="70" t="s">
        <v>29</v>
      </c>
      <c r="B181" s="65" t="s">
        <v>29</v>
      </c>
      <c r="C181" s="65" t="s">
        <v>29</v>
      </c>
      <c r="D181" s="65" t="s">
        <v>52</v>
      </c>
      <c r="E181" s="65" t="s">
        <v>19</v>
      </c>
      <c r="F181" s="65">
        <v>19.690999999999999</v>
      </c>
      <c r="G181" s="65" t="s">
        <v>29</v>
      </c>
      <c r="H181" s="65" t="s">
        <v>29</v>
      </c>
    </row>
    <row r="182" spans="1:13">
      <c r="A182" s="270" t="s">
        <v>842</v>
      </c>
      <c r="B182" s="271" t="s">
        <v>844</v>
      </c>
      <c r="C182" s="271" t="s">
        <v>21</v>
      </c>
      <c r="D182" s="65" t="s">
        <v>55</v>
      </c>
      <c r="E182" s="65" t="s">
        <v>17</v>
      </c>
      <c r="F182" s="65">
        <v>17.402000000000001</v>
      </c>
      <c r="G182" s="65">
        <v>0.813557737</v>
      </c>
      <c r="H182" s="247">
        <v>-0.24299999999999999</v>
      </c>
      <c r="I182" s="72" t="s">
        <v>269</v>
      </c>
      <c r="J182" s="4" t="s">
        <v>845</v>
      </c>
      <c r="K182" s="221" t="s">
        <v>842</v>
      </c>
      <c r="L182" s="180">
        <v>44936</v>
      </c>
      <c r="M182" s="181" t="s">
        <v>24</v>
      </c>
    </row>
    <row r="183" spans="1:13">
      <c r="A183" s="70" t="s">
        <v>29</v>
      </c>
      <c r="B183" s="65" t="s">
        <v>29</v>
      </c>
      <c r="C183" s="65" t="s">
        <v>29</v>
      </c>
      <c r="D183" s="65" t="s">
        <v>55</v>
      </c>
      <c r="E183" s="65" t="s">
        <v>19</v>
      </c>
      <c r="F183" s="65">
        <v>21.39</v>
      </c>
      <c r="G183" s="65" t="s">
        <v>29</v>
      </c>
      <c r="H183" s="65" t="s">
        <v>29</v>
      </c>
    </row>
    <row r="184" spans="1:13">
      <c r="A184" s="270" t="s">
        <v>842</v>
      </c>
      <c r="B184" s="271" t="s">
        <v>846</v>
      </c>
      <c r="C184" s="271" t="s">
        <v>45</v>
      </c>
      <c r="D184" s="65" t="s">
        <v>182</v>
      </c>
      <c r="E184" s="65" t="s">
        <v>17</v>
      </c>
      <c r="F184" s="65">
        <v>19.919</v>
      </c>
      <c r="G184" s="65">
        <v>1.182347005</v>
      </c>
      <c r="H184" s="249">
        <v>0.46600000000000003</v>
      </c>
      <c r="I184" s="72" t="s">
        <v>269</v>
      </c>
    </row>
    <row r="185" spans="1:13">
      <c r="A185" s="70" t="s">
        <v>29</v>
      </c>
      <c r="B185" s="65" t="s">
        <v>29</v>
      </c>
      <c r="C185" s="65" t="s">
        <v>29</v>
      </c>
      <c r="D185" s="65" t="s">
        <v>182</v>
      </c>
      <c r="E185" s="65" t="s">
        <v>19</v>
      </c>
      <c r="F185" s="65">
        <v>16.847000000000001</v>
      </c>
      <c r="G185" s="65" t="s">
        <v>29</v>
      </c>
      <c r="H185" s="65" t="s">
        <v>29</v>
      </c>
    </row>
    <row r="192" spans="1:13" s="122" customFormat="1">
      <c r="B192" s="126"/>
      <c r="I192" s="126"/>
      <c r="M192" s="126"/>
    </row>
    <row r="193" spans="1:13" s="51" customFormat="1">
      <c r="A193" s="268" t="s">
        <v>847</v>
      </c>
      <c r="B193" s="269" t="s">
        <v>848</v>
      </c>
      <c r="C193" s="269" t="s">
        <v>38</v>
      </c>
      <c r="D193" s="66" t="s">
        <v>185</v>
      </c>
      <c r="E193" s="66" t="s">
        <v>17</v>
      </c>
      <c r="F193" s="66">
        <v>16.905000000000001</v>
      </c>
      <c r="G193" s="66">
        <v>0.95373765899999996</v>
      </c>
      <c r="H193" s="249">
        <v>2.5999999999999999E-2</v>
      </c>
      <c r="I193" s="72" t="s">
        <v>269</v>
      </c>
    </row>
    <row r="194" spans="1:13" s="51" customFormat="1">
      <c r="A194" s="70" t="s">
        <v>29</v>
      </c>
      <c r="B194" s="65" t="s">
        <v>29</v>
      </c>
      <c r="C194" s="65" t="s">
        <v>29</v>
      </c>
      <c r="D194" s="65" t="s">
        <v>185</v>
      </c>
      <c r="E194" s="65" t="s">
        <v>19</v>
      </c>
      <c r="F194" s="65">
        <v>17.725000000000001</v>
      </c>
      <c r="G194" s="65" t="s">
        <v>29</v>
      </c>
      <c r="H194" s="65" t="s">
        <v>29</v>
      </c>
    </row>
    <row r="195" spans="1:13" s="51" customFormat="1">
      <c r="A195" s="270" t="s">
        <v>847</v>
      </c>
      <c r="B195" s="271" t="s">
        <v>849</v>
      </c>
      <c r="C195" s="271" t="s">
        <v>21</v>
      </c>
      <c r="D195" s="65" t="s">
        <v>100</v>
      </c>
      <c r="E195" s="65" t="s">
        <v>17</v>
      </c>
      <c r="F195" s="65">
        <v>18.648</v>
      </c>
      <c r="G195" s="65">
        <v>0.88262021999999996</v>
      </c>
      <c r="H195" s="247">
        <v>-0.11</v>
      </c>
      <c r="I195" s="72" t="s">
        <v>269</v>
      </c>
    </row>
    <row r="196" spans="1:13" s="51" customFormat="1">
      <c r="A196" s="70" t="s">
        <v>29</v>
      </c>
      <c r="B196" s="65" t="s">
        <v>29</v>
      </c>
      <c r="C196" s="65" t="s">
        <v>29</v>
      </c>
      <c r="D196" s="65" t="s">
        <v>100</v>
      </c>
      <c r="E196" s="65" t="s">
        <v>19</v>
      </c>
      <c r="F196" s="65">
        <v>21.128</v>
      </c>
      <c r="G196" s="65" t="s">
        <v>29</v>
      </c>
      <c r="H196" s="65" t="s">
        <v>29</v>
      </c>
    </row>
    <row r="202" spans="1:13" s="122" customFormat="1">
      <c r="B202" s="126"/>
      <c r="I202" s="126"/>
      <c r="M202" s="126"/>
    </row>
    <row r="203" spans="1:13">
      <c r="A203" s="68" t="s">
        <v>850</v>
      </c>
      <c r="B203" s="66" t="s">
        <v>851</v>
      </c>
      <c r="C203" s="66" t="s">
        <v>771</v>
      </c>
      <c r="D203" s="66" t="s">
        <v>31</v>
      </c>
      <c r="E203" s="66" t="s">
        <v>17</v>
      </c>
      <c r="F203" s="66">
        <v>18.768999999999998</v>
      </c>
      <c r="G203" s="66">
        <v>0.87452241200000003</v>
      </c>
      <c r="H203" s="276">
        <v>-0.126</v>
      </c>
      <c r="I203" s="72" t="s">
        <v>123</v>
      </c>
    </row>
    <row r="204" spans="1:13">
      <c r="A204" s="70" t="s">
        <v>29</v>
      </c>
      <c r="B204" s="65" t="s">
        <v>29</v>
      </c>
      <c r="C204" s="65" t="s">
        <v>29</v>
      </c>
      <c r="D204" s="65" t="s">
        <v>31</v>
      </c>
      <c r="E204" s="65" t="s">
        <v>19</v>
      </c>
      <c r="F204" s="65">
        <v>21.462</v>
      </c>
      <c r="G204" s="65" t="s">
        <v>29</v>
      </c>
      <c r="H204" s="65" t="s">
        <v>29</v>
      </c>
    </row>
    <row r="205" spans="1:13">
      <c r="A205" s="70" t="s">
        <v>850</v>
      </c>
      <c r="B205" s="65" t="s">
        <v>852</v>
      </c>
      <c r="C205" s="65" t="s">
        <v>30</v>
      </c>
      <c r="D205" s="65" t="s">
        <v>34</v>
      </c>
      <c r="E205" s="65" t="s">
        <v>17</v>
      </c>
      <c r="F205" s="65">
        <v>19.312999999999999</v>
      </c>
      <c r="G205" s="65">
        <v>0.83277995800000004</v>
      </c>
      <c r="H205" s="276">
        <v>-0.20599999999999999</v>
      </c>
      <c r="I205" s="72" t="s">
        <v>123</v>
      </c>
      <c r="J205" s="295" t="s">
        <v>853</v>
      </c>
      <c r="K205" s="295" t="s">
        <v>854</v>
      </c>
      <c r="L205" s="180">
        <v>44966</v>
      </c>
      <c r="M205" s="296" t="s">
        <v>24</v>
      </c>
    </row>
    <row r="206" spans="1:13">
      <c r="A206" s="70" t="s">
        <v>29</v>
      </c>
      <c r="B206" s="65" t="s">
        <v>29</v>
      </c>
      <c r="C206" s="65" t="s">
        <v>29</v>
      </c>
      <c r="D206" s="65" t="s">
        <v>34</v>
      </c>
      <c r="E206" s="65" t="s">
        <v>19</v>
      </c>
      <c r="F206" s="65">
        <v>23.190999999999999</v>
      </c>
      <c r="G206" s="65" t="s">
        <v>29</v>
      </c>
      <c r="H206" s="65" t="s">
        <v>29</v>
      </c>
    </row>
    <row r="208" spans="1:13">
      <c r="A208" s="68" t="s">
        <v>855</v>
      </c>
      <c r="B208" s="66" t="s">
        <v>851</v>
      </c>
      <c r="C208" s="66" t="s">
        <v>15</v>
      </c>
      <c r="D208" s="66" t="s">
        <v>242</v>
      </c>
      <c r="E208" s="66" t="s">
        <v>17</v>
      </c>
      <c r="F208" s="66">
        <v>18.225000000000001</v>
      </c>
      <c r="G208" s="66">
        <v>0.89465416499999995</v>
      </c>
      <c r="H208" s="247">
        <v>-8.6999999999999994E-2</v>
      </c>
      <c r="I208" s="72" t="s">
        <v>131</v>
      </c>
    </row>
    <row r="209" spans="1:13">
      <c r="A209" s="70" t="s">
        <v>29</v>
      </c>
      <c r="B209" s="65" t="s">
        <v>29</v>
      </c>
      <c r="C209" s="65" t="s">
        <v>29</v>
      </c>
      <c r="D209" s="65" t="s">
        <v>242</v>
      </c>
      <c r="E209" s="65" t="s">
        <v>19</v>
      </c>
      <c r="F209" s="65">
        <v>20.370999999999999</v>
      </c>
      <c r="G209" s="65" t="s">
        <v>29</v>
      </c>
      <c r="H209" s="65" t="s">
        <v>29</v>
      </c>
    </row>
    <row r="210" spans="1:13">
      <c r="A210" s="70" t="s">
        <v>855</v>
      </c>
      <c r="B210" s="65" t="s">
        <v>852</v>
      </c>
      <c r="C210" s="65" t="s">
        <v>21</v>
      </c>
      <c r="D210" s="65" t="s">
        <v>299</v>
      </c>
      <c r="E210" s="65" t="s">
        <v>17</v>
      </c>
      <c r="F210" s="65">
        <v>19.061</v>
      </c>
      <c r="G210" s="65">
        <v>0.84753223700000002</v>
      </c>
      <c r="H210" s="247">
        <v>-0.17799999999999999</v>
      </c>
      <c r="I210" s="72" t="s">
        <v>131</v>
      </c>
    </row>
    <row r="211" spans="1:13">
      <c r="A211" s="70" t="s">
        <v>29</v>
      </c>
      <c r="B211" s="65" t="s">
        <v>29</v>
      </c>
      <c r="C211" s="65" t="s">
        <v>29</v>
      </c>
      <c r="D211" s="65" t="s">
        <v>299</v>
      </c>
      <c r="E211" s="65" t="s">
        <v>19</v>
      </c>
      <c r="F211" s="65">
        <v>22.49</v>
      </c>
      <c r="G211" s="65" t="s">
        <v>29</v>
      </c>
      <c r="H211" s="65" t="s">
        <v>29</v>
      </c>
    </row>
    <row r="212" spans="1:13" s="122" customFormat="1">
      <c r="B212" s="126"/>
      <c r="I212" s="126"/>
      <c r="M212" s="126"/>
    </row>
    <row r="213" spans="1:13">
      <c r="A213" s="68" t="s">
        <v>856</v>
      </c>
      <c r="B213" s="66" t="s">
        <v>857</v>
      </c>
      <c r="C213" s="66" t="s">
        <v>771</v>
      </c>
      <c r="D213" s="66" t="s">
        <v>74</v>
      </c>
      <c r="E213" s="66" t="s">
        <v>17</v>
      </c>
      <c r="F213" s="66">
        <v>18.966999999999999</v>
      </c>
      <c r="G213" s="66">
        <v>0.90647103799999995</v>
      </c>
      <c r="H213" s="276">
        <v>-6.4000000000000001E-2</v>
      </c>
      <c r="I213" s="72" t="s">
        <v>123</v>
      </c>
    </row>
    <row r="214" spans="1:13">
      <c r="A214" s="70" t="s">
        <v>29</v>
      </c>
      <c r="B214" s="65" t="s">
        <v>29</v>
      </c>
      <c r="C214" s="65" t="s">
        <v>29</v>
      </c>
      <c r="D214" s="65" t="s">
        <v>74</v>
      </c>
      <c r="E214" s="65" t="s">
        <v>19</v>
      </c>
      <c r="F214" s="65">
        <v>20.923999999999999</v>
      </c>
      <c r="G214" s="65" t="s">
        <v>29</v>
      </c>
      <c r="H214" s="65" t="s">
        <v>29</v>
      </c>
    </row>
    <row r="215" spans="1:13">
      <c r="A215" s="70" t="s">
        <v>856</v>
      </c>
      <c r="B215" s="65" t="s">
        <v>858</v>
      </c>
      <c r="C215" s="65" t="s">
        <v>30</v>
      </c>
      <c r="D215" s="65" t="s">
        <v>81</v>
      </c>
      <c r="E215" s="65" t="s">
        <v>17</v>
      </c>
      <c r="F215" s="65">
        <v>20.059999999999999</v>
      </c>
      <c r="G215" s="65">
        <v>0.88021061899999997</v>
      </c>
      <c r="H215" s="276">
        <v>-0.115</v>
      </c>
      <c r="I215" s="72" t="s">
        <v>123</v>
      </c>
      <c r="J215" s="278" t="s">
        <v>859</v>
      </c>
      <c r="K215" s="278" t="s">
        <v>860</v>
      </c>
      <c r="L215" s="180">
        <v>44966</v>
      </c>
      <c r="M215" s="89" t="s">
        <v>861</v>
      </c>
    </row>
    <row r="216" spans="1:13">
      <c r="A216" s="70" t="s">
        <v>29</v>
      </c>
      <c r="B216" s="65" t="s">
        <v>29</v>
      </c>
      <c r="C216" s="65" t="s">
        <v>29</v>
      </c>
      <c r="D216" s="65" t="s">
        <v>81</v>
      </c>
      <c r="E216" s="65" t="s">
        <v>19</v>
      </c>
      <c r="F216" s="65">
        <v>22.79</v>
      </c>
      <c r="G216" s="65" t="s">
        <v>29</v>
      </c>
      <c r="H216" s="65" t="s">
        <v>29</v>
      </c>
    </row>
    <row r="218" spans="1:13">
      <c r="A218" s="68" t="s">
        <v>862</v>
      </c>
      <c r="B218" s="66" t="s">
        <v>863</v>
      </c>
      <c r="C218" s="66" t="s">
        <v>771</v>
      </c>
      <c r="D218" s="66" t="s">
        <v>105</v>
      </c>
      <c r="E218" s="66" t="s">
        <v>17</v>
      </c>
      <c r="F218" s="66">
        <v>19.300999999999998</v>
      </c>
      <c r="G218" s="66">
        <v>0.89601225600000001</v>
      </c>
      <c r="H218" s="276">
        <v>-8.5000000000000006E-2</v>
      </c>
      <c r="I218" s="72" t="s">
        <v>123</v>
      </c>
    </row>
    <row r="219" spans="1:13">
      <c r="A219" s="70" t="s">
        <v>29</v>
      </c>
      <c r="B219" s="65" t="s">
        <v>29</v>
      </c>
      <c r="C219" s="65" t="s">
        <v>29</v>
      </c>
      <c r="D219" s="65" t="s">
        <v>105</v>
      </c>
      <c r="E219" s="65" t="s">
        <v>19</v>
      </c>
      <c r="F219" s="65">
        <v>21.541</v>
      </c>
      <c r="G219" s="65" t="s">
        <v>29</v>
      </c>
      <c r="H219" s="65" t="s">
        <v>29</v>
      </c>
    </row>
    <row r="220" spans="1:13">
      <c r="A220" s="70" t="s">
        <v>862</v>
      </c>
      <c r="B220" s="65" t="s">
        <v>858</v>
      </c>
      <c r="C220" s="65" t="s">
        <v>30</v>
      </c>
      <c r="D220" s="65" t="s">
        <v>59</v>
      </c>
      <c r="E220" s="65" t="s">
        <v>17</v>
      </c>
      <c r="F220" s="65">
        <v>20.486999999999998</v>
      </c>
      <c r="G220" s="65">
        <v>0.88853710399999997</v>
      </c>
      <c r="H220" s="276">
        <v>-9.9000000000000005E-2</v>
      </c>
      <c r="I220" s="72" t="s">
        <v>123</v>
      </c>
      <c r="J220" s="277" t="s">
        <v>859</v>
      </c>
      <c r="K220" s="277" t="s">
        <v>864</v>
      </c>
      <c r="L220" s="180">
        <v>44966</v>
      </c>
      <c r="M220" s="89" t="s">
        <v>861</v>
      </c>
    </row>
    <row r="221" spans="1:13">
      <c r="A221" s="70" t="s">
        <v>29</v>
      </c>
      <c r="B221" s="65" t="s">
        <v>29</v>
      </c>
      <c r="C221" s="65" t="s">
        <v>29</v>
      </c>
      <c r="D221" s="65" t="s">
        <v>59</v>
      </c>
      <c r="E221" s="65" t="s">
        <v>19</v>
      </c>
      <c r="F221" s="65">
        <v>23.056999999999999</v>
      </c>
      <c r="G221" s="65" t="s">
        <v>29</v>
      </c>
      <c r="H221" s="65" t="s">
        <v>29</v>
      </c>
    </row>
    <row r="222" spans="1:13">
      <c r="A222" s="4" t="s">
        <v>862</v>
      </c>
      <c r="B222" s="4" t="s">
        <v>865</v>
      </c>
      <c r="C222" s="4" t="s">
        <v>45</v>
      </c>
      <c r="D222" s="7" t="s">
        <v>114</v>
      </c>
      <c r="E222" s="7" t="s">
        <v>17</v>
      </c>
      <c r="F222" s="7">
        <v>28.26</v>
      </c>
      <c r="G222" s="3">
        <f t="shared" ref="G222" si="14">F222/F223</f>
        <v>1.5401384271622431</v>
      </c>
      <c r="H222" s="189">
        <f t="shared" ref="H222" si="15">(G222-0.94)/0.52</f>
        <v>1.1541123599273908</v>
      </c>
      <c r="I222" s="72" t="s">
        <v>203</v>
      </c>
    </row>
    <row r="223" spans="1:13">
      <c r="A223" s="7"/>
      <c r="B223" s="7"/>
      <c r="C223" s="7"/>
      <c r="D223" s="7" t="s">
        <v>114</v>
      </c>
      <c r="E223" s="7" t="s">
        <v>19</v>
      </c>
      <c r="F223" s="7">
        <v>18.349</v>
      </c>
      <c r="G223" s="3"/>
      <c r="H223" s="189"/>
    </row>
    <row r="224" spans="1:13" s="122" customFormat="1">
      <c r="B224" s="126"/>
      <c r="I224" s="126"/>
      <c r="M224" s="126"/>
    </row>
    <row r="225" spans="1:13">
      <c r="A225" s="68" t="s">
        <v>866</v>
      </c>
      <c r="B225" s="66" t="s">
        <v>867</v>
      </c>
      <c r="C225" s="66" t="s">
        <v>771</v>
      </c>
      <c r="D225" s="66" t="s">
        <v>49</v>
      </c>
      <c r="E225" s="66" t="s">
        <v>17</v>
      </c>
      <c r="F225" s="66">
        <v>19.553999999999998</v>
      </c>
      <c r="G225" s="66">
        <v>0.93901267799999999</v>
      </c>
      <c r="H225" s="276">
        <v>-2E-3</v>
      </c>
      <c r="I225" s="72" t="s">
        <v>123</v>
      </c>
    </row>
    <row r="226" spans="1:13">
      <c r="A226" s="70" t="s">
        <v>29</v>
      </c>
      <c r="B226" s="65" t="s">
        <v>29</v>
      </c>
      <c r="C226" s="65" t="s">
        <v>29</v>
      </c>
      <c r="D226" s="65" t="s">
        <v>49</v>
      </c>
      <c r="E226" s="65" t="s">
        <v>19</v>
      </c>
      <c r="F226" s="65">
        <v>20.824000000000002</v>
      </c>
      <c r="G226" s="65" t="s">
        <v>29</v>
      </c>
      <c r="H226" s="65" t="s">
        <v>29</v>
      </c>
    </row>
    <row r="227" spans="1:13">
      <c r="A227" s="70" t="s">
        <v>866</v>
      </c>
      <c r="B227" s="65" t="s">
        <v>868</v>
      </c>
      <c r="C227" s="65" t="s">
        <v>30</v>
      </c>
      <c r="D227" s="65" t="s">
        <v>52</v>
      </c>
      <c r="E227" s="65" t="s">
        <v>17</v>
      </c>
      <c r="F227" s="65">
        <v>20.363</v>
      </c>
      <c r="G227" s="65">
        <v>0.83657203899999999</v>
      </c>
      <c r="H227" s="276">
        <v>-0.19900000000000001</v>
      </c>
      <c r="I227" s="72" t="s">
        <v>123</v>
      </c>
    </row>
    <row r="228" spans="1:13">
      <c r="A228" s="70" t="s">
        <v>29</v>
      </c>
      <c r="B228" s="65" t="s">
        <v>29</v>
      </c>
      <c r="C228" s="65" t="s">
        <v>29</v>
      </c>
      <c r="D228" s="65" t="s">
        <v>52</v>
      </c>
      <c r="E228" s="65" t="s">
        <v>19</v>
      </c>
      <c r="F228" s="65">
        <v>24.341000000000001</v>
      </c>
      <c r="G228" s="65" t="s">
        <v>29</v>
      </c>
      <c r="H228" s="65" t="s">
        <v>29</v>
      </c>
    </row>
    <row r="234" spans="1:13" s="122" customFormat="1">
      <c r="B234" s="126"/>
      <c r="I234" s="126"/>
      <c r="M234" s="126"/>
    </row>
    <row r="235" spans="1:13">
      <c r="A235" s="68" t="s">
        <v>869</v>
      </c>
      <c r="B235" s="66" t="s">
        <v>870</v>
      </c>
      <c r="C235" s="66" t="s">
        <v>771</v>
      </c>
      <c r="D235" s="66" t="s">
        <v>83</v>
      </c>
      <c r="E235" s="66" t="s">
        <v>17</v>
      </c>
      <c r="F235" s="66">
        <v>19.071999999999999</v>
      </c>
      <c r="G235" s="66">
        <v>0.90992366400000002</v>
      </c>
      <c r="H235" s="276">
        <v>-5.8000000000000003E-2</v>
      </c>
      <c r="I235" s="72" t="s">
        <v>123</v>
      </c>
    </row>
    <row r="236" spans="1:13">
      <c r="A236" s="70" t="s">
        <v>29</v>
      </c>
      <c r="B236" s="65" t="s">
        <v>29</v>
      </c>
      <c r="C236" s="65" t="s">
        <v>29</v>
      </c>
      <c r="D236" s="65" t="s">
        <v>83</v>
      </c>
      <c r="E236" s="65" t="s">
        <v>19</v>
      </c>
      <c r="F236" s="65">
        <v>20.96</v>
      </c>
      <c r="G236" s="65" t="s">
        <v>29</v>
      </c>
      <c r="H236" s="65" t="s">
        <v>29</v>
      </c>
    </row>
    <row r="237" spans="1:13">
      <c r="A237" s="70" t="s">
        <v>869</v>
      </c>
      <c r="B237" s="65" t="s">
        <v>871</v>
      </c>
      <c r="C237" s="65" t="s">
        <v>30</v>
      </c>
      <c r="D237" s="65" t="s">
        <v>27</v>
      </c>
      <c r="E237" s="65" t="s">
        <v>17</v>
      </c>
      <c r="F237" s="65">
        <v>19.904</v>
      </c>
      <c r="G237" s="65">
        <v>0.86671021100000001</v>
      </c>
      <c r="H237" s="276">
        <v>-0.14099999999999999</v>
      </c>
      <c r="I237" s="72" t="s">
        <v>123</v>
      </c>
      <c r="J237" s="295" t="s">
        <v>872</v>
      </c>
      <c r="K237" s="295" t="s">
        <v>873</v>
      </c>
      <c r="L237" s="180">
        <v>44966</v>
      </c>
      <c r="M237" s="296" t="s">
        <v>24</v>
      </c>
    </row>
    <row r="238" spans="1:13">
      <c r="A238" s="70" t="s">
        <v>29</v>
      </c>
      <c r="B238" s="65" t="s">
        <v>29</v>
      </c>
      <c r="C238" s="65" t="s">
        <v>29</v>
      </c>
      <c r="D238" s="65" t="s">
        <v>27</v>
      </c>
      <c r="E238" s="65" t="s">
        <v>19</v>
      </c>
      <c r="F238" s="65">
        <v>22.965</v>
      </c>
      <c r="G238" s="65" t="s">
        <v>29</v>
      </c>
      <c r="H238" s="65" t="s">
        <v>29</v>
      </c>
    </row>
    <row r="239" spans="1:13">
      <c r="A239" s="4" t="s">
        <v>869</v>
      </c>
      <c r="B239" s="4" t="s">
        <v>874</v>
      </c>
      <c r="C239" s="4" t="s">
        <v>45</v>
      </c>
      <c r="D239" s="4" t="s">
        <v>117</v>
      </c>
      <c r="E239" s="4" t="s">
        <v>17</v>
      </c>
      <c r="F239" s="4">
        <v>27.684000000000001</v>
      </c>
      <c r="G239" s="3">
        <f t="shared" ref="G239" si="16">F239/F240</f>
        <v>1.5701888718734049</v>
      </c>
      <c r="H239" s="189">
        <f t="shared" ref="H239" si="17">(G239-0.94)/0.52</f>
        <v>1.2119016766796249</v>
      </c>
      <c r="I239" s="72" t="s">
        <v>203</v>
      </c>
    </row>
    <row r="240" spans="1:13">
      <c r="A240" s="4"/>
      <c r="B240" s="4"/>
      <c r="C240" s="4"/>
      <c r="D240" s="4" t="s">
        <v>117</v>
      </c>
      <c r="E240" s="4" t="s">
        <v>19</v>
      </c>
      <c r="F240" s="4">
        <v>17.631</v>
      </c>
      <c r="G240" s="3"/>
      <c r="H240" s="189"/>
    </row>
    <row r="244" spans="1:13" s="122" customFormat="1">
      <c r="B244" s="126"/>
      <c r="I244" s="126"/>
      <c r="M244" s="126"/>
    </row>
    <row r="247" spans="1:13">
      <c r="A247" s="68" t="s">
        <v>875</v>
      </c>
      <c r="B247" s="66" t="s">
        <v>876</v>
      </c>
      <c r="C247" s="66" t="s">
        <v>21</v>
      </c>
      <c r="D247" s="66" t="s">
        <v>22</v>
      </c>
      <c r="E247" s="66" t="s">
        <v>17</v>
      </c>
      <c r="F247" s="66">
        <v>19.471</v>
      </c>
      <c r="G247" s="66">
        <v>0.86097722799999998</v>
      </c>
      <c r="H247" s="247">
        <v>-0.152</v>
      </c>
      <c r="I247" s="72" t="s">
        <v>131</v>
      </c>
      <c r="J247" s="298" t="s">
        <v>877</v>
      </c>
      <c r="K247" s="278" t="s">
        <v>878</v>
      </c>
      <c r="L247" s="180">
        <v>44966</v>
      </c>
      <c r="M247" s="89" t="s">
        <v>861</v>
      </c>
    </row>
    <row r="248" spans="1:13">
      <c r="A248" s="70" t="s">
        <v>29</v>
      </c>
      <c r="B248" s="65" t="s">
        <v>29</v>
      </c>
      <c r="C248" s="65" t="s">
        <v>29</v>
      </c>
      <c r="D248" s="65" t="s">
        <v>22</v>
      </c>
      <c r="E248" s="65" t="s">
        <v>19</v>
      </c>
      <c r="F248" s="65">
        <v>22.614999999999998</v>
      </c>
      <c r="G248" s="65" t="s">
        <v>29</v>
      </c>
      <c r="H248" s="65" t="s">
        <v>29</v>
      </c>
    </row>
    <row r="249" spans="1:13">
      <c r="A249" s="325" t="s">
        <v>875</v>
      </c>
      <c r="B249" s="325" t="s">
        <v>879</v>
      </c>
      <c r="C249" s="325" t="s">
        <v>45</v>
      </c>
      <c r="D249" s="3" t="s">
        <v>299</v>
      </c>
      <c r="E249" s="3" t="s">
        <v>17</v>
      </c>
      <c r="F249" s="3">
        <v>25.58</v>
      </c>
      <c r="G249" s="3">
        <f t="shared" ref="G249" si="18">F249/F250</f>
        <v>1.2767019365142742</v>
      </c>
      <c r="H249" s="308">
        <f t="shared" ref="H249" si="19">(G249-0.94)/0.52</f>
        <v>0.64750372406591206</v>
      </c>
      <c r="I249" s="72" t="s">
        <v>232</v>
      </c>
    </row>
    <row r="250" spans="1:13">
      <c r="A250" s="7"/>
      <c r="B250" s="7"/>
      <c r="C250" s="7"/>
      <c r="D250" s="3" t="s">
        <v>299</v>
      </c>
      <c r="E250" s="3" t="s">
        <v>19</v>
      </c>
      <c r="F250" s="3">
        <v>20.036000000000001</v>
      </c>
      <c r="G250" s="3"/>
      <c r="H250" s="308"/>
    </row>
    <row r="254" spans="1:13" s="122" customFormat="1">
      <c r="B254" s="126"/>
      <c r="I254" s="126"/>
      <c r="M254" s="126"/>
    </row>
    <row r="255" spans="1:13">
      <c r="A255" s="68" t="s">
        <v>880</v>
      </c>
      <c r="B255" s="66" t="s">
        <v>881</v>
      </c>
      <c r="C255" s="66" t="s">
        <v>15</v>
      </c>
      <c r="D255" s="66" t="s">
        <v>335</v>
      </c>
      <c r="E255" s="66" t="s">
        <v>17</v>
      </c>
      <c r="F255" s="66">
        <v>18.481000000000002</v>
      </c>
      <c r="G255" s="66">
        <v>0.81267314499999999</v>
      </c>
      <c r="H255" s="247">
        <v>-0.245</v>
      </c>
      <c r="I255" s="72" t="s">
        <v>131</v>
      </c>
    </row>
    <row r="256" spans="1:13">
      <c r="A256" s="70" t="s">
        <v>29</v>
      </c>
      <c r="B256" s="65" t="s">
        <v>29</v>
      </c>
      <c r="C256" s="65" t="s">
        <v>29</v>
      </c>
      <c r="D256" s="65" t="s">
        <v>335</v>
      </c>
      <c r="E256" s="65" t="s">
        <v>19</v>
      </c>
      <c r="F256" s="65">
        <v>22.741</v>
      </c>
      <c r="G256" s="65" t="s">
        <v>29</v>
      </c>
      <c r="H256" s="65" t="s">
        <v>29</v>
      </c>
    </row>
    <row r="257" spans="1:13">
      <c r="A257" s="70" t="s">
        <v>880</v>
      </c>
      <c r="B257" s="65" t="s">
        <v>882</v>
      </c>
      <c r="C257" s="65" t="s">
        <v>21</v>
      </c>
      <c r="D257" s="65" t="s">
        <v>231</v>
      </c>
      <c r="E257" s="65" t="s">
        <v>17</v>
      </c>
      <c r="F257" s="65">
        <v>19.692</v>
      </c>
      <c r="G257" s="65">
        <v>0.79702108699999996</v>
      </c>
      <c r="H257" s="247">
        <v>-0.27500000000000002</v>
      </c>
      <c r="I257" s="72" t="s">
        <v>131</v>
      </c>
      <c r="J257" s="291" t="s">
        <v>883</v>
      </c>
      <c r="K257" s="291" t="s">
        <v>884</v>
      </c>
      <c r="L257" s="180">
        <v>44966</v>
      </c>
      <c r="M257" s="299" t="s">
        <v>24</v>
      </c>
    </row>
    <row r="258" spans="1:13">
      <c r="A258" s="70" t="s">
        <v>29</v>
      </c>
      <c r="B258" s="65" t="s">
        <v>29</v>
      </c>
      <c r="C258" s="65" t="s">
        <v>29</v>
      </c>
      <c r="D258" s="65" t="s">
        <v>231</v>
      </c>
      <c r="E258" s="65" t="s">
        <v>19</v>
      </c>
      <c r="F258" s="65">
        <v>24.707000000000001</v>
      </c>
      <c r="G258" s="65" t="s">
        <v>29</v>
      </c>
      <c r="H258" s="65" t="s">
        <v>29</v>
      </c>
    </row>
    <row r="259" spans="1:13" s="313" customFormat="1">
      <c r="A259" s="325" t="s">
        <v>880</v>
      </c>
      <c r="B259" s="325" t="s">
        <v>885</v>
      </c>
      <c r="C259" s="325" t="s">
        <v>45</v>
      </c>
      <c r="D259" s="3" t="s">
        <v>173</v>
      </c>
      <c r="E259" s="3" t="s">
        <v>17</v>
      </c>
      <c r="F259" s="3">
        <v>19.108000000000001</v>
      </c>
      <c r="G259" s="3">
        <f t="shared" ref="G259" si="20">F259/F260</f>
        <v>0.88458867645016437</v>
      </c>
      <c r="H259" s="308">
        <f t="shared" ref="H259" si="21">(G259-0.94)/0.52</f>
        <v>-0.10656023759583765</v>
      </c>
      <c r="I259" s="321" t="s">
        <v>232</v>
      </c>
      <c r="M259" s="312"/>
    </row>
    <row r="260" spans="1:13" s="313" customFormat="1">
      <c r="A260" s="7"/>
      <c r="B260" s="7"/>
      <c r="C260" s="7"/>
      <c r="D260" s="3" t="s">
        <v>173</v>
      </c>
      <c r="E260" s="3" t="s">
        <v>19</v>
      </c>
      <c r="F260" s="3">
        <v>21.600999999999999</v>
      </c>
      <c r="G260" s="3"/>
      <c r="H260" s="308"/>
      <c r="I260" s="312"/>
      <c r="M260" s="312"/>
    </row>
    <row r="261" spans="1:13" s="313" customFormat="1">
      <c r="A261" s="334"/>
      <c r="B261" s="335"/>
      <c r="C261" s="335"/>
      <c r="D261" s="335"/>
      <c r="E261" s="335"/>
      <c r="F261" s="335"/>
      <c r="G261" s="335"/>
      <c r="H261" s="335"/>
      <c r="I261" s="312"/>
      <c r="M261" s="312"/>
    </row>
    <row r="262" spans="1:13">
      <c r="A262" s="4" t="s">
        <v>886</v>
      </c>
      <c r="B262" s="4" t="s">
        <v>881</v>
      </c>
      <c r="C262" s="4" t="s">
        <v>38</v>
      </c>
      <c r="D262" s="7" t="s">
        <v>281</v>
      </c>
      <c r="E262" s="7" t="s">
        <v>17</v>
      </c>
      <c r="F262" s="7">
        <v>16.608000000000001</v>
      </c>
      <c r="G262" s="3">
        <f t="shared" ref="G262:G264" si="22">F262/F263</f>
        <v>0.7963176064441887</v>
      </c>
      <c r="H262" s="189">
        <f t="shared" ref="H262:H264" si="23">(G262-0.94)/0.52</f>
        <v>-0.27631229529963702</v>
      </c>
      <c r="I262" s="72" t="s">
        <v>203</v>
      </c>
    </row>
    <row r="263" spans="1:13">
      <c r="A263" s="7"/>
      <c r="B263" s="7"/>
      <c r="C263" s="7"/>
      <c r="D263" s="7" t="s">
        <v>281</v>
      </c>
      <c r="E263" s="7" t="s">
        <v>19</v>
      </c>
      <c r="F263" s="7">
        <v>20.856000000000002</v>
      </c>
      <c r="G263" s="3"/>
      <c r="H263" s="189"/>
    </row>
    <row r="264" spans="1:13">
      <c r="A264" s="4" t="s">
        <v>886</v>
      </c>
      <c r="B264" s="4" t="s">
        <v>882</v>
      </c>
      <c r="C264" s="4" t="s">
        <v>21</v>
      </c>
      <c r="D264" s="7" t="s">
        <v>242</v>
      </c>
      <c r="E264" s="7" t="s">
        <v>17</v>
      </c>
      <c r="F264" s="7">
        <v>17.995000000000001</v>
      </c>
      <c r="G264" s="3">
        <f t="shared" si="22"/>
        <v>0.77172141693112617</v>
      </c>
      <c r="H264" s="189">
        <f t="shared" si="23"/>
        <v>-0.32361265974783415</v>
      </c>
      <c r="I264" s="72" t="s">
        <v>203</v>
      </c>
      <c r="J264" s="291" t="s">
        <v>883</v>
      </c>
      <c r="K264" s="291" t="s">
        <v>886</v>
      </c>
      <c r="L264" s="180">
        <v>44980</v>
      </c>
      <c r="M264" s="299" t="s">
        <v>24</v>
      </c>
    </row>
    <row r="265" spans="1:13">
      <c r="A265" s="7"/>
      <c r="B265" s="7"/>
      <c r="C265" s="7"/>
      <c r="D265" s="7" t="s">
        <v>242</v>
      </c>
      <c r="E265" s="7" t="s">
        <v>19</v>
      </c>
      <c r="F265" s="7">
        <v>23.318000000000001</v>
      </c>
      <c r="G265" s="3"/>
      <c r="H265" s="189"/>
    </row>
    <row r="266" spans="1:13">
      <c r="A266" s="3" t="s">
        <v>886</v>
      </c>
      <c r="B266" s="3" t="s">
        <v>887</v>
      </c>
      <c r="C266" s="3" t="s">
        <v>45</v>
      </c>
      <c r="D266" s="3" t="s">
        <v>312</v>
      </c>
      <c r="E266" s="3" t="s">
        <v>17</v>
      </c>
      <c r="F266" s="3">
        <v>18.46</v>
      </c>
      <c r="G266" s="3">
        <f t="shared" ref="G266" si="24">F266/F267</f>
        <v>0.83408639074643054</v>
      </c>
      <c r="H266" s="308">
        <f t="shared" ref="H266" si="25">(G266-0.94)/0.52</f>
        <v>-0.20368001779532577</v>
      </c>
      <c r="I266" s="72" t="s">
        <v>64</v>
      </c>
    </row>
    <row r="267" spans="1:13">
      <c r="A267" s="3"/>
      <c r="B267" s="3"/>
      <c r="C267" s="3"/>
      <c r="D267" s="3" t="s">
        <v>312</v>
      </c>
      <c r="E267" s="3" t="s">
        <v>19</v>
      </c>
      <c r="F267" s="3">
        <v>22.132000000000001</v>
      </c>
      <c r="G267" s="3"/>
      <c r="H267" s="308"/>
    </row>
    <row r="268" spans="1:13">
      <c r="A268" s="325" t="s">
        <v>886</v>
      </c>
      <c r="B268" s="325" t="s">
        <v>885</v>
      </c>
      <c r="C268" s="325" t="s">
        <v>45</v>
      </c>
      <c r="D268" s="3" t="s">
        <v>100</v>
      </c>
      <c r="E268" s="3" t="s">
        <v>17</v>
      </c>
      <c r="F268" s="3">
        <v>19.564</v>
      </c>
      <c r="G268" s="3">
        <f t="shared" ref="G268" si="26">F268/F269</f>
        <v>0.98678502975890248</v>
      </c>
      <c r="H268" s="308">
        <f t="shared" ref="H268" si="27">(G268-0.94)/0.52</f>
        <v>8.9971211074812554E-2</v>
      </c>
      <c r="I268" s="72" t="s">
        <v>232</v>
      </c>
    </row>
    <row r="269" spans="1:13" s="313" customFormat="1">
      <c r="A269" s="7"/>
      <c r="B269" s="7"/>
      <c r="C269" s="7"/>
      <c r="D269" s="3" t="s">
        <v>100</v>
      </c>
      <c r="E269" s="3" t="s">
        <v>19</v>
      </c>
      <c r="F269" s="3">
        <v>19.826000000000001</v>
      </c>
      <c r="G269" s="3"/>
      <c r="H269" s="308"/>
      <c r="I269" s="312"/>
      <c r="M269" s="312"/>
    </row>
    <row r="270" spans="1:13" s="122" customFormat="1">
      <c r="B270" s="126"/>
      <c r="I270" s="126"/>
      <c r="M270" s="126"/>
    </row>
    <row r="271" spans="1:13">
      <c r="A271" s="68" t="s">
        <v>888</v>
      </c>
      <c r="B271" s="66" t="s">
        <v>889</v>
      </c>
      <c r="C271" s="66" t="s">
        <v>15</v>
      </c>
      <c r="D271" s="66" t="s">
        <v>303</v>
      </c>
      <c r="E271" s="66" t="s">
        <v>17</v>
      </c>
      <c r="F271" s="66">
        <v>18.928000000000001</v>
      </c>
      <c r="G271" s="66">
        <v>0.99364796099999997</v>
      </c>
      <c r="H271" s="249">
        <v>0.10299999999999999</v>
      </c>
      <c r="I271" s="72" t="s">
        <v>131</v>
      </c>
    </row>
    <row r="272" spans="1:13">
      <c r="A272" s="70" t="s">
        <v>29</v>
      </c>
      <c r="B272" s="65" t="s">
        <v>29</v>
      </c>
      <c r="C272" s="65" t="s">
        <v>29</v>
      </c>
      <c r="D272" s="65" t="s">
        <v>303</v>
      </c>
      <c r="E272" s="65" t="s">
        <v>19</v>
      </c>
      <c r="F272" s="65">
        <v>19.048999999999999</v>
      </c>
      <c r="G272" s="65" t="s">
        <v>29</v>
      </c>
      <c r="H272" s="65" t="s">
        <v>29</v>
      </c>
    </row>
    <row r="273" spans="1:13">
      <c r="A273" s="70" t="s">
        <v>888</v>
      </c>
      <c r="B273" s="65" t="s">
        <v>890</v>
      </c>
      <c r="C273" s="65" t="s">
        <v>21</v>
      </c>
      <c r="D273" s="65" t="s">
        <v>223</v>
      </c>
      <c r="E273" s="65" t="s">
        <v>17</v>
      </c>
      <c r="F273" s="65">
        <v>18.881</v>
      </c>
      <c r="G273" s="65">
        <v>0.87250462100000004</v>
      </c>
      <c r="H273" s="247">
        <v>-0.13</v>
      </c>
      <c r="I273" s="72" t="s">
        <v>131</v>
      </c>
      <c r="J273" s="294" t="s">
        <v>891</v>
      </c>
      <c r="K273" s="294" t="s">
        <v>892</v>
      </c>
      <c r="L273" s="180">
        <v>44966</v>
      </c>
      <c r="M273" s="299" t="s">
        <v>24</v>
      </c>
    </row>
    <row r="274" spans="1:13">
      <c r="A274" s="70" t="s">
        <v>29</v>
      </c>
      <c r="B274" s="65" t="s">
        <v>29</v>
      </c>
      <c r="C274" s="65" t="s">
        <v>29</v>
      </c>
      <c r="D274" s="65" t="s">
        <v>223</v>
      </c>
      <c r="E274" s="65" t="s">
        <v>19</v>
      </c>
      <c r="F274" s="65">
        <v>21.64</v>
      </c>
      <c r="G274" s="65" t="s">
        <v>29</v>
      </c>
      <c r="H274" s="65" t="s">
        <v>29</v>
      </c>
    </row>
    <row r="280" spans="1:13" s="122" customFormat="1">
      <c r="B280" s="126"/>
      <c r="I280" s="126"/>
      <c r="M280" s="126"/>
    </row>
    <row r="281" spans="1:13">
      <c r="A281" s="68" t="s">
        <v>893</v>
      </c>
      <c r="B281" s="66" t="s">
        <v>822</v>
      </c>
      <c r="C281" s="66" t="s">
        <v>15</v>
      </c>
      <c r="D281" s="66" t="s">
        <v>180</v>
      </c>
      <c r="E281" s="66" t="s">
        <v>17</v>
      </c>
      <c r="F281" s="66">
        <v>18.408000000000001</v>
      </c>
      <c r="G281" s="66">
        <v>0.87912507799999995</v>
      </c>
      <c r="H281" s="247">
        <v>-0.11700000000000001</v>
      </c>
      <c r="I281" s="72" t="s">
        <v>131</v>
      </c>
    </row>
    <row r="282" spans="1:13">
      <c r="A282" s="70" t="s">
        <v>29</v>
      </c>
      <c r="B282" s="65" t="s">
        <v>29</v>
      </c>
      <c r="C282" s="65" t="s">
        <v>29</v>
      </c>
      <c r="D282" s="65" t="s">
        <v>180</v>
      </c>
      <c r="E282" s="65" t="s">
        <v>19</v>
      </c>
      <c r="F282" s="65">
        <v>20.939</v>
      </c>
      <c r="G282" s="65" t="s">
        <v>29</v>
      </c>
      <c r="H282" s="65" t="s">
        <v>29</v>
      </c>
    </row>
    <row r="283" spans="1:13">
      <c r="A283" s="70" t="s">
        <v>893</v>
      </c>
      <c r="B283" s="65" t="s">
        <v>823</v>
      </c>
      <c r="C283" s="65" t="s">
        <v>21</v>
      </c>
      <c r="D283" s="65" t="s">
        <v>281</v>
      </c>
      <c r="E283" s="65" t="s">
        <v>17</v>
      </c>
      <c r="F283" s="65">
        <v>19.257000000000001</v>
      </c>
      <c r="G283" s="65">
        <v>0.81486966800000005</v>
      </c>
      <c r="H283" s="247">
        <v>-0.24099999999999999</v>
      </c>
      <c r="I283" s="72" t="s">
        <v>131</v>
      </c>
      <c r="J283" s="294" t="s">
        <v>894</v>
      </c>
      <c r="K283" s="294" t="s">
        <v>893</v>
      </c>
      <c r="L283" s="180">
        <v>44966</v>
      </c>
      <c r="M283" s="299" t="s">
        <v>24</v>
      </c>
    </row>
    <row r="284" spans="1:13">
      <c r="A284" s="70" t="s">
        <v>29</v>
      </c>
      <c r="B284" s="65" t="s">
        <v>29</v>
      </c>
      <c r="C284" s="65" t="s">
        <v>29</v>
      </c>
      <c r="D284" s="65" t="s">
        <v>281</v>
      </c>
      <c r="E284" s="65" t="s">
        <v>19</v>
      </c>
      <c r="F284" s="65">
        <v>23.632000000000001</v>
      </c>
      <c r="G284" s="65" t="s">
        <v>29</v>
      </c>
      <c r="H284" s="65" t="s">
        <v>29</v>
      </c>
    </row>
    <row r="285" spans="1:13">
      <c r="A285" s="3" t="s">
        <v>893</v>
      </c>
      <c r="B285" s="3" t="s">
        <v>895</v>
      </c>
      <c r="C285" s="3" t="s">
        <v>45</v>
      </c>
      <c r="D285" s="3" t="s">
        <v>314</v>
      </c>
      <c r="E285" s="3" t="s">
        <v>17</v>
      </c>
      <c r="F285" s="3">
        <v>20.945</v>
      </c>
      <c r="G285" s="3">
        <f t="shared" ref="G285" si="28">F285/F286</f>
        <v>1.0927065943238732</v>
      </c>
      <c r="H285" s="308">
        <f t="shared" ref="H285" si="29">(G285-0.94)/0.52</f>
        <v>0.29366652754591005</v>
      </c>
      <c r="I285" s="72" t="s">
        <v>64</v>
      </c>
    </row>
    <row r="286" spans="1:13">
      <c r="A286" s="3"/>
      <c r="B286" s="3"/>
      <c r="C286" s="3"/>
      <c r="D286" s="3" t="s">
        <v>314</v>
      </c>
      <c r="E286" s="3" t="s">
        <v>19</v>
      </c>
      <c r="F286" s="3">
        <v>19.167999999999999</v>
      </c>
      <c r="G286" s="3"/>
      <c r="H286" s="308"/>
    </row>
    <row r="287" spans="1:13">
      <c r="A287" s="303" t="s">
        <v>896</v>
      </c>
      <c r="B287" s="66" t="s">
        <v>897</v>
      </c>
      <c r="C287" s="66" t="s">
        <v>38</v>
      </c>
      <c r="D287" s="66" t="s">
        <v>117</v>
      </c>
      <c r="E287" s="66" t="s">
        <v>17</v>
      </c>
      <c r="F287" s="66">
        <v>17.173999999999999</v>
      </c>
      <c r="G287" s="66">
        <v>0.84944109199999995</v>
      </c>
      <c r="H287" s="247">
        <v>-0.17399999999999999</v>
      </c>
      <c r="I287" s="72" t="s">
        <v>224</v>
      </c>
    </row>
    <row r="288" spans="1:13">
      <c r="A288" s="304" t="s">
        <v>29</v>
      </c>
      <c r="B288" s="65" t="s">
        <v>29</v>
      </c>
      <c r="C288" s="65" t="s">
        <v>29</v>
      </c>
      <c r="D288" s="65" t="s">
        <v>117</v>
      </c>
      <c r="E288" s="65" t="s">
        <v>19</v>
      </c>
      <c r="F288" s="65">
        <v>20.218</v>
      </c>
      <c r="G288" s="65" t="s">
        <v>29</v>
      </c>
      <c r="H288" s="65" t="s">
        <v>29</v>
      </c>
      <c r="I288" s="97"/>
    </row>
    <row r="289" spans="1:13">
      <c r="A289" s="304" t="s">
        <v>896</v>
      </c>
      <c r="B289" s="65" t="s">
        <v>898</v>
      </c>
      <c r="C289" s="65" t="s">
        <v>226</v>
      </c>
      <c r="D289" s="65" t="s">
        <v>310</v>
      </c>
      <c r="E289" s="65" t="s">
        <v>17</v>
      </c>
      <c r="F289" s="65">
        <v>18.007999999999999</v>
      </c>
      <c r="G289" s="65">
        <v>0.78524397199999996</v>
      </c>
      <c r="H289" s="247">
        <v>-0.29799999999999999</v>
      </c>
      <c r="I289" s="72" t="s">
        <v>224</v>
      </c>
    </row>
    <row r="290" spans="1:13">
      <c r="A290" s="304" t="s">
        <v>29</v>
      </c>
      <c r="B290" s="65" t="s">
        <v>29</v>
      </c>
      <c r="C290" s="65" t="s">
        <v>29</v>
      </c>
      <c r="D290" s="65" t="s">
        <v>310</v>
      </c>
      <c r="E290" s="65" t="s">
        <v>19</v>
      </c>
      <c r="F290" s="65">
        <v>22.933</v>
      </c>
      <c r="G290" s="65" t="s">
        <v>29</v>
      </c>
      <c r="H290" s="65" t="s">
        <v>29</v>
      </c>
      <c r="I290" s="97"/>
    </row>
    <row r="291" spans="1:13">
      <c r="A291" s="4" t="s">
        <v>896</v>
      </c>
      <c r="B291" s="4" t="s">
        <v>899</v>
      </c>
      <c r="C291" s="4" t="s">
        <v>45</v>
      </c>
      <c r="D291" s="7" t="s">
        <v>223</v>
      </c>
      <c r="E291" s="7" t="s">
        <v>17</v>
      </c>
      <c r="F291" s="7">
        <v>19.312999999999999</v>
      </c>
      <c r="G291" s="3">
        <f t="shared" ref="G291" si="30">F291/F292</f>
        <v>1.0084590882982611</v>
      </c>
      <c r="H291" s="189">
        <f t="shared" ref="H291" si="31">(G291-0.94)/0.52</f>
        <v>0.13165209288127153</v>
      </c>
      <c r="I291" s="72" t="s">
        <v>203</v>
      </c>
    </row>
    <row r="292" spans="1:13">
      <c r="A292" s="7"/>
      <c r="B292" s="7"/>
      <c r="C292" s="7"/>
      <c r="D292" s="7" t="s">
        <v>223</v>
      </c>
      <c r="E292" s="7" t="s">
        <v>19</v>
      </c>
      <c r="F292" s="7">
        <v>19.151</v>
      </c>
      <c r="G292" s="3"/>
      <c r="H292" s="189"/>
    </row>
    <row r="293" spans="1:13" s="122" customFormat="1">
      <c r="B293" s="126"/>
      <c r="I293" s="126"/>
      <c r="M293" s="126"/>
    </row>
    <row r="294" spans="1:13">
      <c r="A294" s="303" t="s">
        <v>900</v>
      </c>
      <c r="B294" s="66" t="s">
        <v>901</v>
      </c>
      <c r="C294" s="66" t="s">
        <v>38</v>
      </c>
      <c r="D294" s="66" t="s">
        <v>112</v>
      </c>
      <c r="E294" s="66" t="s">
        <v>17</v>
      </c>
      <c r="F294" s="66">
        <v>17.353999999999999</v>
      </c>
      <c r="G294" s="66">
        <v>0.87219178799999997</v>
      </c>
      <c r="H294" s="247">
        <v>-0.13</v>
      </c>
      <c r="I294" s="72" t="s">
        <v>224</v>
      </c>
    </row>
    <row r="295" spans="1:13">
      <c r="A295" s="304" t="s">
        <v>29</v>
      </c>
      <c r="B295" s="65" t="s">
        <v>29</v>
      </c>
      <c r="C295" s="65" t="s">
        <v>29</v>
      </c>
      <c r="D295" s="65" t="s">
        <v>112</v>
      </c>
      <c r="E295" s="65" t="s">
        <v>19</v>
      </c>
      <c r="F295" s="65">
        <v>19.896999999999998</v>
      </c>
      <c r="G295" s="65" t="s">
        <v>29</v>
      </c>
      <c r="H295" s="65" t="s">
        <v>29</v>
      </c>
      <c r="I295" s="97"/>
    </row>
    <row r="296" spans="1:13">
      <c r="A296" s="304" t="s">
        <v>900</v>
      </c>
      <c r="B296" s="65" t="s">
        <v>902</v>
      </c>
      <c r="C296" s="65" t="s">
        <v>226</v>
      </c>
      <c r="D296" s="65" t="s">
        <v>114</v>
      </c>
      <c r="E296" s="65" t="s">
        <v>17</v>
      </c>
      <c r="F296" s="65">
        <v>18.402999999999999</v>
      </c>
      <c r="G296" s="65">
        <v>0.83524712899999998</v>
      </c>
      <c r="H296" s="247">
        <v>-0.20100000000000001</v>
      </c>
      <c r="I296" s="72" t="s">
        <v>224</v>
      </c>
      <c r="J296" s="146" t="s">
        <v>903</v>
      </c>
      <c r="K296" s="146" t="s">
        <v>900</v>
      </c>
      <c r="L296" s="180">
        <v>44980</v>
      </c>
      <c r="M296" s="181" t="s">
        <v>24</v>
      </c>
    </row>
    <row r="297" spans="1:13">
      <c r="A297" s="304" t="s">
        <v>29</v>
      </c>
      <c r="B297" s="65" t="s">
        <v>29</v>
      </c>
      <c r="C297" s="65" t="s">
        <v>29</v>
      </c>
      <c r="D297" s="65" t="s">
        <v>114</v>
      </c>
      <c r="E297" s="65" t="s">
        <v>19</v>
      </c>
      <c r="F297" s="65">
        <v>22.033000000000001</v>
      </c>
      <c r="G297" s="65" t="s">
        <v>29</v>
      </c>
      <c r="H297" s="65" t="s">
        <v>29</v>
      </c>
      <c r="I297" s="97"/>
    </row>
    <row r="303" spans="1:13" s="122" customFormat="1">
      <c r="B303" s="126"/>
      <c r="I303" s="126"/>
      <c r="M303" s="126"/>
    </row>
    <row r="304" spans="1:13">
      <c r="A304" s="4" t="s">
        <v>904</v>
      </c>
      <c r="B304" s="4" t="s">
        <v>905</v>
      </c>
      <c r="C304" s="4" t="s">
        <v>38</v>
      </c>
      <c r="D304" s="7" t="s">
        <v>22</v>
      </c>
      <c r="E304" s="7" t="s">
        <v>17</v>
      </c>
      <c r="F304" s="7">
        <v>18.22</v>
      </c>
      <c r="G304" s="3">
        <f t="shared" ref="G304:G306" si="32">F304/F305</f>
        <v>0.92445075853670911</v>
      </c>
      <c r="H304" s="189">
        <f t="shared" ref="H304:H306" si="33">(G304-0.94)/0.52</f>
        <v>-2.9902387429405465E-2</v>
      </c>
      <c r="I304" s="72" t="s">
        <v>203</v>
      </c>
    </row>
    <row r="305" spans="1:13">
      <c r="A305" s="7"/>
      <c r="B305" s="7"/>
      <c r="C305" s="7"/>
      <c r="D305" s="7" t="s">
        <v>22</v>
      </c>
      <c r="E305" s="7" t="s">
        <v>19</v>
      </c>
      <c r="F305" s="7">
        <v>19.709</v>
      </c>
      <c r="G305" s="3"/>
      <c r="H305" s="189"/>
    </row>
    <row r="306" spans="1:13">
      <c r="A306" s="4" t="s">
        <v>904</v>
      </c>
      <c r="B306" s="4" t="s">
        <v>906</v>
      </c>
      <c r="C306" s="4" t="s">
        <v>21</v>
      </c>
      <c r="D306" s="7" t="s">
        <v>335</v>
      </c>
      <c r="E306" s="7" t="s">
        <v>17</v>
      </c>
      <c r="F306" s="7">
        <v>18.71</v>
      </c>
      <c r="G306" s="3">
        <f t="shared" si="32"/>
        <v>0.85809943129700983</v>
      </c>
      <c r="H306" s="189">
        <f t="shared" si="33"/>
        <v>-0.15750109365959639</v>
      </c>
      <c r="I306" s="72" t="s">
        <v>203</v>
      </c>
      <c r="J306" s="146" t="s">
        <v>907</v>
      </c>
      <c r="K306" s="146" t="s">
        <v>904</v>
      </c>
      <c r="L306" s="180">
        <v>44980</v>
      </c>
      <c r="M306" s="181" t="s">
        <v>24</v>
      </c>
    </row>
    <row r="307" spans="1:13">
      <c r="A307" s="7"/>
      <c r="B307" s="7"/>
      <c r="C307" s="7"/>
      <c r="D307" s="7" t="s">
        <v>335</v>
      </c>
      <c r="E307" s="7" t="s">
        <v>19</v>
      </c>
      <c r="F307" s="7">
        <v>21.803999999999998</v>
      </c>
      <c r="G307" s="3"/>
      <c r="H307" s="189"/>
    </row>
    <row r="317" spans="1:13" s="122" customFormat="1">
      <c r="B317" s="126"/>
      <c r="I317" s="126"/>
      <c r="M317" s="126"/>
    </row>
    <row r="318" spans="1:13">
      <c r="A318" s="4" t="s">
        <v>908</v>
      </c>
      <c r="B318" s="4" t="s">
        <v>909</v>
      </c>
      <c r="C318" s="4" t="s">
        <v>38</v>
      </c>
      <c r="D318" s="4" t="s">
        <v>299</v>
      </c>
      <c r="E318" s="4" t="s">
        <v>17</v>
      </c>
      <c r="F318" s="4">
        <v>16.649000000000001</v>
      </c>
      <c r="G318" s="3">
        <f t="shared" ref="G318" si="34">F318/F319</f>
        <v>0.84607175525968092</v>
      </c>
      <c r="H318" s="189">
        <f t="shared" ref="H318" si="35">(G318-0.94)/0.52</f>
        <v>-0.18063123988522889</v>
      </c>
      <c r="I318" s="72" t="s">
        <v>203</v>
      </c>
    </row>
    <row r="319" spans="1:13">
      <c r="A319" s="4"/>
      <c r="B319" s="4"/>
      <c r="C319" s="4"/>
      <c r="D319" s="4" t="s">
        <v>299</v>
      </c>
      <c r="E319" s="4" t="s">
        <v>19</v>
      </c>
      <c r="F319" s="4">
        <v>19.678000000000001</v>
      </c>
      <c r="G319" s="3"/>
      <c r="H319" s="189"/>
    </row>
    <row r="320" spans="1:13">
      <c r="A320" s="4" t="s">
        <v>908</v>
      </c>
      <c r="B320" s="4" t="s">
        <v>910</v>
      </c>
      <c r="C320" s="4" t="s">
        <v>21</v>
      </c>
      <c r="D320" s="4" t="s">
        <v>303</v>
      </c>
      <c r="E320" s="4" t="s">
        <v>17</v>
      </c>
      <c r="F320" s="4">
        <v>18.337</v>
      </c>
      <c r="G320" s="3">
        <f t="shared" ref="G320" si="36">F320/F321</f>
        <v>0.86781826786559402</v>
      </c>
      <c r="H320" s="189">
        <f t="shared" ref="H320" si="37">(G320-0.94)/0.52</f>
        <v>-0.13881102333539602</v>
      </c>
      <c r="I320" s="72" t="s">
        <v>203</v>
      </c>
      <c r="J320" s="146" t="s">
        <v>911</v>
      </c>
      <c r="K320" s="146" t="s">
        <v>908</v>
      </c>
      <c r="L320" s="180">
        <v>45020</v>
      </c>
      <c r="M320" s="181" t="s">
        <v>24</v>
      </c>
    </row>
    <row r="321" spans="1:13">
      <c r="A321" s="4"/>
      <c r="B321" s="4"/>
      <c r="C321" s="4"/>
      <c r="D321" s="4" t="s">
        <v>303</v>
      </c>
      <c r="E321" s="4" t="s">
        <v>19</v>
      </c>
      <c r="F321" s="4">
        <v>21.13</v>
      </c>
      <c r="G321" s="3"/>
      <c r="H321" s="189"/>
    </row>
    <row r="322" spans="1:13">
      <c r="A322" s="325" t="s">
        <v>908</v>
      </c>
      <c r="B322" s="325" t="s">
        <v>912</v>
      </c>
      <c r="C322" s="325" t="s">
        <v>45</v>
      </c>
      <c r="D322" s="3" t="s">
        <v>185</v>
      </c>
      <c r="E322" s="3" t="s">
        <v>17</v>
      </c>
      <c r="F322" s="3">
        <v>19.143999999999998</v>
      </c>
      <c r="G322" s="3">
        <f t="shared" ref="G322" si="38">F322/F323</f>
        <v>0.980135162809748</v>
      </c>
      <c r="H322" s="308">
        <f t="shared" ref="H322" si="39">(G322-0.94)/0.52</f>
        <v>7.7183005403361635E-2</v>
      </c>
      <c r="I322" s="72" t="s">
        <v>101</v>
      </c>
    </row>
    <row r="323" spans="1:13">
      <c r="A323" s="3"/>
      <c r="B323" s="3"/>
      <c r="C323" s="3"/>
      <c r="D323" s="3" t="s">
        <v>185</v>
      </c>
      <c r="E323" s="3" t="s">
        <v>19</v>
      </c>
      <c r="F323" s="3">
        <v>19.532</v>
      </c>
      <c r="G323" s="3"/>
      <c r="H323" s="308"/>
    </row>
    <row r="330" spans="1:13" s="122" customFormat="1">
      <c r="B330" s="126"/>
      <c r="I330" s="126"/>
      <c r="M330" s="126"/>
    </row>
    <row r="331" spans="1:13">
      <c r="A331" s="3" t="s">
        <v>913</v>
      </c>
      <c r="B331" s="3" t="s">
        <v>914</v>
      </c>
      <c r="C331" s="3" t="s">
        <v>38</v>
      </c>
      <c r="D331" s="3" t="s">
        <v>112</v>
      </c>
      <c r="E331" s="3" t="s">
        <v>17</v>
      </c>
      <c r="F331" s="3">
        <v>18.366</v>
      </c>
      <c r="G331" s="3">
        <f t="shared" ref="G331" si="40">F331/F332</f>
        <v>0.84749204005352774</v>
      </c>
      <c r="H331" s="308">
        <f t="shared" ref="H331" si="41">(G331-0.94)/0.52</f>
        <v>-0.17789992297398502</v>
      </c>
      <c r="I331" s="72" t="s">
        <v>64</v>
      </c>
    </row>
    <row r="332" spans="1:13">
      <c r="A332" s="3"/>
      <c r="B332" s="3"/>
      <c r="C332" s="3"/>
      <c r="D332" s="3" t="s">
        <v>112</v>
      </c>
      <c r="E332" s="3" t="s">
        <v>19</v>
      </c>
      <c r="F332" s="3">
        <v>21.670999999999999</v>
      </c>
      <c r="G332" s="3"/>
      <c r="H332" s="308"/>
    </row>
    <row r="333" spans="1:13">
      <c r="A333" s="3" t="s">
        <v>913</v>
      </c>
      <c r="B333" s="3" t="s">
        <v>915</v>
      </c>
      <c r="C333" s="3" t="s">
        <v>21</v>
      </c>
      <c r="D333" s="3" t="s">
        <v>114</v>
      </c>
      <c r="E333" s="3" t="s">
        <v>17</v>
      </c>
      <c r="F333" s="3">
        <v>19.690999999999999</v>
      </c>
      <c r="G333" s="3">
        <f t="shared" ref="G333" si="42">F333/F334</f>
        <v>0.81871855640098123</v>
      </c>
      <c r="H333" s="308">
        <f t="shared" ref="H333" si="43">(G333-0.94)/0.52</f>
        <v>-0.23323354538272828</v>
      </c>
      <c r="I333" s="72" t="s">
        <v>64</v>
      </c>
      <c r="J333" s="146" t="s">
        <v>916</v>
      </c>
      <c r="K333" s="146" t="s">
        <v>913</v>
      </c>
      <c r="L333" s="180">
        <v>45020</v>
      </c>
      <c r="M333" s="181" t="s">
        <v>24</v>
      </c>
    </row>
    <row r="334" spans="1:13">
      <c r="A334" s="3"/>
      <c r="B334" s="3"/>
      <c r="C334" s="3"/>
      <c r="D334" s="3" t="s">
        <v>114</v>
      </c>
      <c r="E334" s="3" t="s">
        <v>19</v>
      </c>
      <c r="F334" s="3">
        <v>24.050999999999998</v>
      </c>
      <c r="G334" s="3"/>
      <c r="H334" s="308"/>
    </row>
    <row r="335" spans="1:13">
      <c r="A335" s="3" t="s">
        <v>913</v>
      </c>
      <c r="B335" s="3" t="s">
        <v>917</v>
      </c>
      <c r="C335" s="3" t="s">
        <v>45</v>
      </c>
      <c r="D335" s="3" t="s">
        <v>49</v>
      </c>
      <c r="E335" s="3" t="s">
        <v>17</v>
      </c>
      <c r="F335" s="3">
        <v>20.899000000000001</v>
      </c>
      <c r="G335" s="3">
        <f t="shared" ref="G335" si="44">F335/F336</f>
        <v>1.0844229970942301</v>
      </c>
      <c r="H335" s="202">
        <f t="shared" ref="H335" si="45">(G335-0.94)/0.52</f>
        <v>0.27773653287351946</v>
      </c>
      <c r="I335" s="72" t="s">
        <v>120</v>
      </c>
    </row>
    <row r="336" spans="1:13">
      <c r="A336" s="3"/>
      <c r="B336" s="3"/>
      <c r="C336" s="3"/>
      <c r="D336" s="3" t="s">
        <v>49</v>
      </c>
      <c r="E336" s="3" t="s">
        <v>19</v>
      </c>
      <c r="F336" s="3">
        <v>19.271999999999998</v>
      </c>
      <c r="G336" s="3"/>
      <c r="H336" s="202"/>
    </row>
    <row r="337" spans="1:13">
      <c r="A337" s="325" t="s">
        <v>913</v>
      </c>
      <c r="B337" s="325" t="s">
        <v>918</v>
      </c>
      <c r="C337" s="325" t="s">
        <v>45</v>
      </c>
      <c r="D337" s="3" t="s">
        <v>42</v>
      </c>
      <c r="E337" s="3" t="s">
        <v>17</v>
      </c>
      <c r="F337" s="3">
        <v>19.806000000000001</v>
      </c>
      <c r="G337" s="3">
        <f t="shared" ref="G337" si="46">F337/F338</f>
        <v>0.93689687795648058</v>
      </c>
      <c r="H337" s="308">
        <f t="shared" ref="H337" si="47">(G337-0.94)/0.52</f>
        <v>-5.9675423913834007E-3</v>
      </c>
      <c r="I337" s="72" t="s">
        <v>232</v>
      </c>
    </row>
    <row r="338" spans="1:13">
      <c r="A338" s="7"/>
      <c r="B338" s="7"/>
      <c r="C338" s="7"/>
      <c r="D338" s="3" t="s">
        <v>42</v>
      </c>
      <c r="E338" s="3" t="s">
        <v>19</v>
      </c>
      <c r="F338" s="3">
        <v>21.14</v>
      </c>
      <c r="G338" s="3"/>
      <c r="H338" s="308"/>
    </row>
    <row r="343" spans="1:13" s="122" customFormat="1">
      <c r="B343" s="126"/>
      <c r="I343" s="126"/>
      <c r="M343" s="126"/>
    </row>
    <row r="344" spans="1:13">
      <c r="A344" s="3" t="s">
        <v>919</v>
      </c>
      <c r="B344" s="3" t="s">
        <v>920</v>
      </c>
      <c r="C344" s="3" t="s">
        <v>38</v>
      </c>
      <c r="D344" s="3" t="s">
        <v>117</v>
      </c>
      <c r="E344" s="3" t="s">
        <v>17</v>
      </c>
      <c r="F344" s="3">
        <v>18.266999999999999</v>
      </c>
      <c r="G344" s="3">
        <f t="shared" ref="G344" si="48">F344/F345</f>
        <v>0.83820492818795023</v>
      </c>
      <c r="H344" s="308">
        <f t="shared" ref="H344" si="49">(G344-0.94)/0.52</f>
        <v>-0.195759753484711</v>
      </c>
      <c r="I344" s="72" t="s">
        <v>64</v>
      </c>
    </row>
    <row r="345" spans="1:13">
      <c r="A345" s="3"/>
      <c r="B345" s="3"/>
      <c r="C345" s="3"/>
      <c r="D345" s="3" t="s">
        <v>117</v>
      </c>
      <c r="E345" s="3" t="s">
        <v>19</v>
      </c>
      <c r="F345" s="3">
        <v>21.792999999999999</v>
      </c>
      <c r="G345" s="3"/>
      <c r="H345" s="308"/>
    </row>
    <row r="346" spans="1:13">
      <c r="A346" s="3" t="s">
        <v>919</v>
      </c>
      <c r="B346" s="3" t="s">
        <v>921</v>
      </c>
      <c r="C346" s="3" t="s">
        <v>21</v>
      </c>
      <c r="D346" s="3" t="s">
        <v>310</v>
      </c>
      <c r="E346" s="3" t="s">
        <v>17</v>
      </c>
      <c r="F346" s="3">
        <v>19.007999999999999</v>
      </c>
      <c r="G346" s="3">
        <f t="shared" ref="G346" si="50">F346/F347</f>
        <v>0.7957133288680508</v>
      </c>
      <c r="H346" s="308">
        <f t="shared" ref="H346" si="51">(G346-0.94)/0.52</f>
        <v>-0.27747436756144067</v>
      </c>
      <c r="I346" s="72" t="s">
        <v>64</v>
      </c>
      <c r="J346" s="146" t="s">
        <v>922</v>
      </c>
      <c r="K346" s="146" t="s">
        <v>919</v>
      </c>
      <c r="L346" s="180">
        <v>45020</v>
      </c>
      <c r="M346" s="181" t="s">
        <v>24</v>
      </c>
    </row>
    <row r="347" spans="1:13">
      <c r="A347" s="3"/>
      <c r="B347" s="3"/>
      <c r="C347" s="3"/>
      <c r="D347" s="3" t="s">
        <v>310</v>
      </c>
      <c r="E347" s="3" t="s">
        <v>19</v>
      </c>
      <c r="F347" s="3">
        <v>23.888000000000002</v>
      </c>
      <c r="G347" s="3"/>
      <c r="H347" s="308"/>
    </row>
    <row r="348" spans="1:13">
      <c r="A348" s="3" t="s">
        <v>919</v>
      </c>
      <c r="B348" s="3" t="s">
        <v>923</v>
      </c>
      <c r="C348" s="3" t="s">
        <v>45</v>
      </c>
      <c r="D348" s="3" t="s">
        <v>52</v>
      </c>
      <c r="E348" s="3" t="s">
        <v>17</v>
      </c>
      <c r="F348" s="3">
        <v>20.224</v>
      </c>
      <c r="G348" s="3">
        <f t="shared" ref="G348" si="52">F348/F349</f>
        <v>1.0031746031746032</v>
      </c>
      <c r="H348" s="202">
        <f t="shared" ref="H348" si="53">(G348-0.94)/0.52</f>
        <v>0.12148962148962157</v>
      </c>
      <c r="I348" s="72" t="s">
        <v>120</v>
      </c>
    </row>
    <row r="349" spans="1:13">
      <c r="A349" s="3"/>
      <c r="B349" s="3"/>
      <c r="C349" s="3"/>
      <c r="D349" s="3" t="s">
        <v>52</v>
      </c>
      <c r="E349" s="3" t="s">
        <v>19</v>
      </c>
      <c r="F349" s="3">
        <v>20.16</v>
      </c>
      <c r="G349" s="3"/>
      <c r="H349" s="202"/>
    </row>
    <row r="350" spans="1:13">
      <c r="A350" s="325" t="s">
        <v>919</v>
      </c>
      <c r="B350" s="325" t="s">
        <v>924</v>
      </c>
      <c r="C350" s="325" t="s">
        <v>45</v>
      </c>
      <c r="D350" s="3" t="s">
        <v>39</v>
      </c>
      <c r="E350" s="3" t="s">
        <v>17</v>
      </c>
      <c r="F350" s="3">
        <v>19.724</v>
      </c>
      <c r="G350" s="3">
        <f t="shared" ref="G350" si="54">F350/F351</f>
        <v>0.76289935793300845</v>
      </c>
      <c r="H350" s="308">
        <f t="shared" ref="H350" si="55">(G350-0.94)/0.52</f>
        <v>-0.34057815782113748</v>
      </c>
      <c r="I350" s="72" t="s">
        <v>232</v>
      </c>
    </row>
    <row r="351" spans="1:13">
      <c r="A351" s="7"/>
      <c r="B351" s="7"/>
      <c r="C351" s="7"/>
      <c r="D351" s="3" t="s">
        <v>39</v>
      </c>
      <c r="E351" s="3" t="s">
        <v>19</v>
      </c>
      <c r="F351" s="3">
        <v>25.853999999999999</v>
      </c>
      <c r="G351" s="3"/>
      <c r="H351" s="308"/>
    </row>
    <row r="357" spans="1:13" s="122" customFormat="1">
      <c r="B357" s="126"/>
      <c r="I357" s="126"/>
      <c r="M357" s="126"/>
    </row>
    <row r="358" spans="1:13">
      <c r="A358" s="31" t="s">
        <v>925</v>
      </c>
      <c r="B358" s="31" t="s">
        <v>926</v>
      </c>
      <c r="C358" s="31" t="s">
        <v>15</v>
      </c>
      <c r="D358" s="31" t="s">
        <v>105</v>
      </c>
      <c r="E358" s="31" t="s">
        <v>17</v>
      </c>
      <c r="F358" s="31">
        <v>18.995000000000001</v>
      </c>
      <c r="G358" s="31">
        <f t="shared" ref="G358" si="56">F358/F359</f>
        <v>0.90828671161478514</v>
      </c>
      <c r="H358" s="328">
        <f t="shared" ref="H358" si="57">(G358-0.94)/0.52</f>
        <v>-6.0987093048490017E-2</v>
      </c>
      <c r="I358" s="72" t="s">
        <v>120</v>
      </c>
    </row>
    <row r="359" spans="1:13">
      <c r="A359" s="3"/>
      <c r="B359" s="3"/>
      <c r="C359" s="3"/>
      <c r="D359" s="3" t="s">
        <v>105</v>
      </c>
      <c r="E359" s="3" t="s">
        <v>19</v>
      </c>
      <c r="F359" s="3">
        <v>20.913</v>
      </c>
      <c r="G359" s="3"/>
      <c r="H359" s="202"/>
    </row>
    <row r="360" spans="1:13">
      <c r="A360" s="3" t="s">
        <v>925</v>
      </c>
      <c r="B360" s="3" t="s">
        <v>927</v>
      </c>
      <c r="C360" s="3" t="s">
        <v>21</v>
      </c>
      <c r="D360" s="3" t="s">
        <v>59</v>
      </c>
      <c r="E360" s="3" t="s">
        <v>17</v>
      </c>
      <c r="F360" s="3">
        <v>19.887</v>
      </c>
      <c r="G360" s="3">
        <f t="shared" ref="G360" si="58">F360/F361</f>
        <v>0.84834911696954185</v>
      </c>
      <c r="H360" s="202">
        <f t="shared" ref="H360" si="59">(G360-0.94)/0.52</f>
        <v>-0.17625169813549632</v>
      </c>
      <c r="I360" s="72" t="s">
        <v>120</v>
      </c>
    </row>
    <row r="361" spans="1:13">
      <c r="A361" s="3"/>
      <c r="B361" s="3"/>
      <c r="C361" s="3"/>
      <c r="D361" s="3" t="s">
        <v>59</v>
      </c>
      <c r="E361" s="3" t="s">
        <v>19</v>
      </c>
      <c r="F361" s="3">
        <v>23.442</v>
      </c>
      <c r="G361" s="3"/>
      <c r="H361" s="202"/>
    </row>
    <row r="362" spans="1:13">
      <c r="A362" s="325" t="s">
        <v>925</v>
      </c>
      <c r="B362" s="325" t="s">
        <v>928</v>
      </c>
      <c r="C362" s="325" t="s">
        <v>45</v>
      </c>
      <c r="D362" s="3" t="s">
        <v>185</v>
      </c>
      <c r="E362" s="3" t="s">
        <v>17</v>
      </c>
      <c r="F362" s="3">
        <v>20.99</v>
      </c>
      <c r="G362" s="3">
        <f t="shared" ref="G362" si="60">F362/F363</f>
        <v>1.1206620395088094</v>
      </c>
      <c r="H362" s="308">
        <f t="shared" ref="H362" si="61">(G362-0.94)/0.52</f>
        <v>0.34742699905540275</v>
      </c>
      <c r="I362" s="72" t="s">
        <v>232</v>
      </c>
    </row>
    <row r="363" spans="1:13">
      <c r="A363" s="7"/>
      <c r="B363" s="7"/>
      <c r="C363" s="7"/>
      <c r="D363" s="3" t="s">
        <v>185</v>
      </c>
      <c r="E363" s="3" t="s">
        <v>19</v>
      </c>
      <c r="F363" s="3">
        <v>18.73</v>
      </c>
      <c r="G363" s="3"/>
      <c r="H363" s="308"/>
    </row>
    <row r="371" spans="1:13" s="122" customFormat="1">
      <c r="B371" s="126"/>
      <c r="I371" s="126"/>
      <c r="M371" s="126"/>
    </row>
    <row r="372" spans="1:13">
      <c r="A372" s="3" t="s">
        <v>929</v>
      </c>
      <c r="B372" s="3" t="s">
        <v>930</v>
      </c>
      <c r="C372" s="3" t="s">
        <v>15</v>
      </c>
      <c r="D372" s="3" t="s">
        <v>55</v>
      </c>
      <c r="E372" s="3" t="s">
        <v>17</v>
      </c>
      <c r="F372" s="3">
        <v>19.094000000000001</v>
      </c>
      <c r="G372" s="3">
        <f t="shared" ref="G372" si="62">F372/F373</f>
        <v>0.87938101598120944</v>
      </c>
      <c r="H372" s="202">
        <f t="shared" ref="H372" si="63">(G372-0.94)/0.52</f>
        <v>-0.11657496926690483</v>
      </c>
      <c r="I372" s="72" t="s">
        <v>120</v>
      </c>
    </row>
    <row r="373" spans="1:13">
      <c r="A373" s="3"/>
      <c r="B373" s="3"/>
      <c r="C373" s="3"/>
      <c r="D373" s="3" t="s">
        <v>55</v>
      </c>
      <c r="E373" s="3" t="s">
        <v>19</v>
      </c>
      <c r="F373" s="3">
        <v>21.713000000000001</v>
      </c>
      <c r="G373" s="3"/>
      <c r="H373" s="202"/>
    </row>
    <row r="374" spans="1:13">
      <c r="A374" s="3" t="s">
        <v>929</v>
      </c>
      <c r="B374" s="3" t="s">
        <v>931</v>
      </c>
      <c r="C374" s="3" t="s">
        <v>21</v>
      </c>
      <c r="D374" s="3" t="s">
        <v>182</v>
      </c>
      <c r="E374" s="3" t="s">
        <v>17</v>
      </c>
      <c r="F374" s="3">
        <v>19.419</v>
      </c>
      <c r="G374" s="3">
        <f t="shared" ref="G374" si="64">F374/F375</f>
        <v>0.82641075836241384</v>
      </c>
      <c r="H374" s="202">
        <f t="shared" ref="H374" si="65">(G374-0.94)/0.52</f>
        <v>-0.21844084930305019</v>
      </c>
      <c r="I374" s="72" t="s">
        <v>120</v>
      </c>
    </row>
    <row r="375" spans="1:13">
      <c r="A375" s="26"/>
      <c r="B375" s="26"/>
      <c r="C375" s="26"/>
      <c r="D375" s="26" t="s">
        <v>182</v>
      </c>
      <c r="E375" s="26" t="s">
        <v>19</v>
      </c>
      <c r="F375" s="26">
        <v>23.498000000000001</v>
      </c>
      <c r="G375" s="26"/>
      <c r="H375" s="329"/>
    </row>
    <row r="385" spans="1:13" s="122" customFormat="1">
      <c r="B385" s="126"/>
      <c r="I385" s="126"/>
      <c r="M385" s="126"/>
    </row>
    <row r="386" spans="1:13">
      <c r="A386" s="3" t="s">
        <v>932</v>
      </c>
      <c r="B386" s="3" t="s">
        <v>933</v>
      </c>
      <c r="C386" s="3" t="s">
        <v>15</v>
      </c>
      <c r="D386" s="7" t="s">
        <v>31</v>
      </c>
      <c r="E386" s="7" t="s">
        <v>17</v>
      </c>
      <c r="F386" s="7">
        <v>19.03</v>
      </c>
      <c r="G386" s="3">
        <f t="shared" ref="G386:G388" si="66">F386/F387</f>
        <v>0.88693139448173008</v>
      </c>
      <c r="H386" s="189">
        <f t="shared" ref="H386:H388" si="67">(G386-0.94)/0.52</f>
        <v>-0.10205501061205742</v>
      </c>
      <c r="I386" s="72" t="s">
        <v>709</v>
      </c>
    </row>
    <row r="387" spans="1:13">
      <c r="A387" s="7"/>
      <c r="B387" s="7"/>
      <c r="C387" s="7"/>
      <c r="D387" s="7" t="s">
        <v>31</v>
      </c>
      <c r="E387" s="7" t="s">
        <v>19</v>
      </c>
      <c r="F387" s="7">
        <v>21.456</v>
      </c>
      <c r="G387" s="3"/>
      <c r="H387" s="189"/>
    </row>
    <row r="388" spans="1:13">
      <c r="A388" s="3" t="s">
        <v>932</v>
      </c>
      <c r="B388" s="3" t="s">
        <v>934</v>
      </c>
      <c r="C388" s="3" t="s">
        <v>21</v>
      </c>
      <c r="D388" s="7" t="s">
        <v>34</v>
      </c>
      <c r="E388" s="7" t="s">
        <v>17</v>
      </c>
      <c r="F388" s="7">
        <v>19.706</v>
      </c>
      <c r="G388" s="3">
        <f t="shared" si="66"/>
        <v>0.83238996367322804</v>
      </c>
      <c r="H388" s="189">
        <f t="shared" si="67"/>
        <v>-0.20694237755148442</v>
      </c>
      <c r="I388" s="72" t="s">
        <v>709</v>
      </c>
    </row>
    <row r="389" spans="1:13">
      <c r="A389" s="7"/>
      <c r="B389" s="7"/>
      <c r="C389" s="7"/>
      <c r="D389" s="7" t="s">
        <v>34</v>
      </c>
      <c r="E389" s="7" t="s">
        <v>19</v>
      </c>
      <c r="F389" s="7">
        <v>23.673999999999999</v>
      </c>
      <c r="G389" s="3"/>
      <c r="H389" s="189"/>
    </row>
    <row r="399" spans="1:13" s="122" customFormat="1">
      <c r="B399" s="126"/>
      <c r="I399" s="126"/>
      <c r="M399" s="126"/>
    </row>
    <row r="400" spans="1:13">
      <c r="A400" s="3" t="s">
        <v>935</v>
      </c>
      <c r="B400" s="3" t="s">
        <v>797</v>
      </c>
      <c r="C400" s="3" t="s">
        <v>15</v>
      </c>
      <c r="D400" s="7" t="s">
        <v>83</v>
      </c>
      <c r="E400" s="7" t="s">
        <v>17</v>
      </c>
      <c r="F400" s="7">
        <v>19.096</v>
      </c>
      <c r="G400" s="3">
        <f t="shared" ref="G400:G402" si="68">F400/F401</f>
        <v>0.8650901513092325</v>
      </c>
      <c r="H400" s="189">
        <f t="shared" ref="H400:H402" si="69">(G400-0.94)/0.52</f>
        <v>-0.14405740132839892</v>
      </c>
      <c r="I400" s="72" t="s">
        <v>709</v>
      </c>
    </row>
    <row r="401" spans="1:13">
      <c r="A401" s="7"/>
      <c r="B401" s="7"/>
      <c r="C401" s="7"/>
      <c r="D401" s="7" t="s">
        <v>83</v>
      </c>
      <c r="E401" s="7" t="s">
        <v>19</v>
      </c>
      <c r="F401" s="7">
        <v>22.074000000000002</v>
      </c>
      <c r="G401" s="3"/>
      <c r="H401" s="189"/>
    </row>
    <row r="402" spans="1:13">
      <c r="A402" s="3" t="s">
        <v>935</v>
      </c>
      <c r="B402" s="3" t="s">
        <v>798</v>
      </c>
      <c r="C402" s="3" t="s">
        <v>21</v>
      </c>
      <c r="D402" s="7" t="s">
        <v>27</v>
      </c>
      <c r="E402" s="7" t="s">
        <v>17</v>
      </c>
      <c r="F402" s="7">
        <v>19</v>
      </c>
      <c r="G402" s="3">
        <f t="shared" si="68"/>
        <v>0.78923319764060806</v>
      </c>
      <c r="H402" s="189">
        <f t="shared" si="69"/>
        <v>-0.28993615838344594</v>
      </c>
      <c r="I402" s="72" t="s">
        <v>709</v>
      </c>
    </row>
    <row r="403" spans="1:13">
      <c r="A403" s="7"/>
      <c r="B403" s="7"/>
      <c r="C403" s="7"/>
      <c r="D403" s="7" t="s">
        <v>27</v>
      </c>
      <c r="E403" s="7" t="s">
        <v>19</v>
      </c>
      <c r="F403" s="7">
        <v>24.074000000000002</v>
      </c>
      <c r="G403" s="3"/>
      <c r="H403" s="189"/>
    </row>
    <row r="413" spans="1:13" s="122" customFormat="1">
      <c r="B413" s="126"/>
      <c r="I413" s="126"/>
      <c r="M413" s="126"/>
    </row>
    <row r="414" spans="1:13">
      <c r="A414" s="3" t="s">
        <v>936</v>
      </c>
      <c r="B414" s="3" t="s">
        <v>937</v>
      </c>
      <c r="C414" s="3" t="s">
        <v>15</v>
      </c>
      <c r="D414" s="7" t="s">
        <v>68</v>
      </c>
      <c r="E414" s="7" t="s">
        <v>17</v>
      </c>
      <c r="F414" s="7">
        <v>18.126999999999999</v>
      </c>
      <c r="G414" s="3">
        <f>F414/F415</f>
        <v>0.87169992786727568</v>
      </c>
      <c r="H414" s="189">
        <f>(G414-0.94)/0.52</f>
        <v>-0.13134629256293129</v>
      </c>
      <c r="I414" s="72" t="s">
        <v>709</v>
      </c>
    </row>
    <row r="415" spans="1:13">
      <c r="A415" s="7"/>
      <c r="B415" s="7"/>
      <c r="C415" s="7"/>
      <c r="D415" s="7" t="s">
        <v>68</v>
      </c>
      <c r="E415" s="7" t="s">
        <v>19</v>
      </c>
      <c r="F415" s="7">
        <v>20.795000000000002</v>
      </c>
      <c r="G415" s="3"/>
      <c r="H415" s="189"/>
    </row>
    <row r="416" spans="1:13">
      <c r="A416" s="3" t="s">
        <v>936</v>
      </c>
      <c r="B416" s="3" t="s">
        <v>938</v>
      </c>
      <c r="C416" s="3" t="s">
        <v>21</v>
      </c>
      <c r="D416" s="7" t="s">
        <v>71</v>
      </c>
      <c r="E416" s="7" t="s">
        <v>17</v>
      </c>
      <c r="F416" s="7">
        <v>19.564</v>
      </c>
      <c r="G416" s="3">
        <f t="shared" ref="G416" si="70">F416/F417</f>
        <v>0.77903874487317326</v>
      </c>
      <c r="H416" s="189">
        <f t="shared" ref="H416" si="71">(G416-0.94)/0.52</f>
        <v>-0.30954087524389745</v>
      </c>
      <c r="I416" s="72" t="s">
        <v>709</v>
      </c>
    </row>
    <row r="417" spans="1:13">
      <c r="A417" s="7"/>
      <c r="B417" s="7"/>
      <c r="C417" s="7"/>
      <c r="D417" s="7" t="s">
        <v>71</v>
      </c>
      <c r="E417" s="7" t="s">
        <v>19</v>
      </c>
      <c r="F417" s="7">
        <v>25.113</v>
      </c>
      <c r="G417" s="3"/>
      <c r="H417" s="189"/>
    </row>
    <row r="427" spans="1:13" s="122" customFormat="1">
      <c r="B427" s="126"/>
      <c r="I427" s="126"/>
      <c r="M427" s="126"/>
    </row>
    <row r="428" spans="1:13">
      <c r="A428" s="3" t="s">
        <v>939</v>
      </c>
      <c r="B428" s="3" t="s">
        <v>940</v>
      </c>
      <c r="C428" s="3" t="s">
        <v>15</v>
      </c>
      <c r="D428" s="7" t="s">
        <v>74</v>
      </c>
      <c r="E428" s="7" t="s">
        <v>17</v>
      </c>
      <c r="F428" s="7">
        <v>18.167000000000002</v>
      </c>
      <c r="G428" s="3">
        <f t="shared" ref="G428:G430" si="72">F428/F429</f>
        <v>0.85644917970959844</v>
      </c>
      <c r="H428" s="189">
        <f t="shared" ref="H428:H430" si="73">(G428-0.94)/0.52</f>
        <v>-0.16067465440461828</v>
      </c>
      <c r="I428" s="72" t="s">
        <v>709</v>
      </c>
    </row>
    <row r="429" spans="1:13">
      <c r="A429" s="7"/>
      <c r="B429" s="7"/>
      <c r="C429" s="7"/>
      <c r="D429" s="7" t="s">
        <v>74</v>
      </c>
      <c r="E429" s="7" t="s">
        <v>19</v>
      </c>
      <c r="F429" s="7">
        <v>21.212</v>
      </c>
      <c r="G429" s="3"/>
      <c r="H429" s="189"/>
    </row>
    <row r="430" spans="1:13">
      <c r="A430" s="3" t="s">
        <v>939</v>
      </c>
      <c r="B430" s="3" t="s">
        <v>941</v>
      </c>
      <c r="C430" s="3" t="s">
        <v>21</v>
      </c>
      <c r="D430" s="7" t="s">
        <v>81</v>
      </c>
      <c r="E430" s="7" t="s">
        <v>17</v>
      </c>
      <c r="F430" s="7">
        <v>18.686</v>
      </c>
      <c r="G430" s="3">
        <f t="shared" si="72"/>
        <v>0.77838873614929605</v>
      </c>
      <c r="H430" s="189">
        <f t="shared" si="73"/>
        <v>-0.31079089202058441</v>
      </c>
      <c r="I430" s="72" t="s">
        <v>709</v>
      </c>
    </row>
    <row r="431" spans="1:13">
      <c r="A431" s="7"/>
      <c r="B431" s="7"/>
      <c r="C431" s="7"/>
      <c r="D431" s="7" t="s">
        <v>81</v>
      </c>
      <c r="E431" s="7" t="s">
        <v>19</v>
      </c>
      <c r="F431" s="7">
        <v>24.006</v>
      </c>
      <c r="G431" s="3"/>
      <c r="H431" s="189"/>
    </row>
    <row r="441" spans="2:13" s="122" customFormat="1">
      <c r="B441" s="126"/>
      <c r="I441" s="126"/>
      <c r="M441" s="126"/>
    </row>
    <row r="455" spans="2:13" s="122" customFormat="1">
      <c r="B455" s="126"/>
      <c r="I455" s="126"/>
      <c r="M455" s="126"/>
    </row>
  </sheetData>
  <conditionalFormatting sqref="H90:H91">
    <cfRule type="cellIs" dxfId="71" priority="62" operator="lessThan">
      <formula>0</formula>
    </cfRule>
  </conditionalFormatting>
  <conditionalFormatting sqref="H90:H93">
    <cfRule type="cellIs" dxfId="70" priority="50" operator="greaterThan">
      <formula>0</formula>
    </cfRule>
  </conditionalFormatting>
  <conditionalFormatting sqref="H92:H93">
    <cfRule type="cellIs" dxfId="69" priority="49" operator="lessThan">
      <formula>0</formula>
    </cfRule>
  </conditionalFormatting>
  <conditionalFormatting sqref="H101:H102">
    <cfRule type="cellIs" dxfId="68" priority="46" operator="greaterThan">
      <formula>0</formula>
    </cfRule>
    <cfRule type="cellIs" dxfId="67" priority="45" operator="lessThan">
      <formula>0</formula>
    </cfRule>
  </conditionalFormatting>
  <conditionalFormatting sqref="H114:H119">
    <cfRule type="cellIs" dxfId="66" priority="22" operator="greaterThan">
      <formula>0</formula>
    </cfRule>
    <cfRule type="cellIs" dxfId="65" priority="21" operator="lessThan">
      <formula>0</formula>
    </cfRule>
  </conditionalFormatting>
  <conditionalFormatting sqref="H132:H133">
    <cfRule type="cellIs" dxfId="64" priority="48" operator="greaterThan">
      <formula>0</formula>
    </cfRule>
    <cfRule type="cellIs" dxfId="63" priority="47" operator="lessThan">
      <formula>0</formula>
    </cfRule>
  </conditionalFormatting>
  <conditionalFormatting sqref="H222:H223">
    <cfRule type="cellIs" dxfId="62" priority="44" operator="greaterThan">
      <formula>0</formula>
    </cfRule>
    <cfRule type="cellIs" dxfId="61" priority="43" operator="lessThan">
      <formula>0</formula>
    </cfRule>
  </conditionalFormatting>
  <conditionalFormatting sqref="H239:H240">
    <cfRule type="cellIs" dxfId="60" priority="42" operator="greaterThan">
      <formula>0</formula>
    </cfRule>
    <cfRule type="cellIs" dxfId="59" priority="41" operator="lessThan">
      <formula>0</formula>
    </cfRule>
  </conditionalFormatting>
  <conditionalFormatting sqref="H249:H250">
    <cfRule type="cellIs" dxfId="58" priority="9" operator="lessThan">
      <formula>0</formula>
    </cfRule>
    <cfRule type="cellIs" dxfId="57" priority="10" operator="greaterThan">
      <formula>0</formula>
    </cfRule>
  </conditionalFormatting>
  <conditionalFormatting sqref="H259:H260">
    <cfRule type="cellIs" dxfId="56" priority="15" operator="lessThan">
      <formula>0</formula>
    </cfRule>
    <cfRule type="cellIs" dxfId="55" priority="16" operator="greaterThan">
      <formula>0</formula>
    </cfRule>
  </conditionalFormatting>
  <conditionalFormatting sqref="H262:H269">
    <cfRule type="cellIs" dxfId="54" priority="17" operator="lessThan">
      <formula>0</formula>
    </cfRule>
    <cfRule type="cellIs" dxfId="53" priority="18" operator="greaterThan">
      <formula>0</formula>
    </cfRule>
  </conditionalFormatting>
  <conditionalFormatting sqref="H285:H286">
    <cfRule type="cellIs" dxfId="52" priority="33" operator="lessThan">
      <formula>0</formula>
    </cfRule>
    <cfRule type="cellIs" dxfId="51" priority="34" operator="greaterThan">
      <formula>0</formula>
    </cfRule>
  </conditionalFormatting>
  <conditionalFormatting sqref="H291:H292">
    <cfRule type="cellIs" dxfId="50" priority="52" operator="greaterThan">
      <formula>0</formula>
    </cfRule>
    <cfRule type="cellIs" dxfId="49" priority="51" operator="lessThan">
      <formula>0</formula>
    </cfRule>
  </conditionalFormatting>
  <conditionalFormatting sqref="H304:H307">
    <cfRule type="cellIs" dxfId="48" priority="60" operator="greaterThan">
      <formula>0</formula>
    </cfRule>
    <cfRule type="cellIs" dxfId="47" priority="59" operator="lessThan">
      <formula>0</formula>
    </cfRule>
  </conditionalFormatting>
  <conditionalFormatting sqref="H318:H323">
    <cfRule type="cellIs" dxfId="46" priority="31" operator="lessThan">
      <formula>0</formula>
    </cfRule>
    <cfRule type="cellIs" dxfId="45" priority="32" operator="greaterThan">
      <formula>0</formula>
    </cfRule>
  </conditionalFormatting>
  <conditionalFormatting sqref="H331:H338">
    <cfRule type="cellIs" dxfId="44" priority="12" operator="greaterThan">
      <formula>0</formula>
    </cfRule>
    <cfRule type="cellIs" dxfId="43" priority="11" operator="lessThan">
      <formula>0</formula>
    </cfRule>
  </conditionalFormatting>
  <conditionalFormatting sqref="H344:H351">
    <cfRule type="cellIs" dxfId="42" priority="14" operator="greaterThan">
      <formula>0</formula>
    </cfRule>
    <cfRule type="cellIs" dxfId="41" priority="13" operator="lessThan">
      <formula>0</formula>
    </cfRule>
  </conditionalFormatting>
  <conditionalFormatting sqref="H358:H363">
    <cfRule type="cellIs" dxfId="40" priority="19" operator="lessThan">
      <formula>0</formula>
    </cfRule>
    <cfRule type="cellIs" dxfId="39" priority="20" operator="greaterThan">
      <formula>0</formula>
    </cfRule>
  </conditionalFormatting>
  <conditionalFormatting sqref="H372:H375">
    <cfRule type="cellIs" dxfId="38" priority="23" operator="lessThan">
      <formula>0</formula>
    </cfRule>
    <cfRule type="cellIs" dxfId="37" priority="24" operator="greaterThan">
      <formula>0</formula>
    </cfRule>
  </conditionalFormatting>
  <conditionalFormatting sqref="H386:H389">
    <cfRule type="cellIs" dxfId="36" priority="1" operator="lessThan">
      <formula>0</formula>
    </cfRule>
    <cfRule type="cellIs" dxfId="35" priority="2" operator="greaterThan">
      <formula>0</formula>
    </cfRule>
  </conditionalFormatting>
  <conditionalFormatting sqref="H400:H403">
    <cfRule type="cellIs" dxfId="34" priority="3" operator="lessThan">
      <formula>0</formula>
    </cfRule>
    <cfRule type="cellIs" dxfId="33" priority="4" operator="greaterThan">
      <formula>0</formula>
    </cfRule>
  </conditionalFormatting>
  <conditionalFormatting sqref="H414:H417">
    <cfRule type="cellIs" dxfId="32" priority="8" operator="greaterThan">
      <formula>0</formula>
    </cfRule>
    <cfRule type="cellIs" dxfId="31" priority="7" operator="lessThan">
      <formula>0</formula>
    </cfRule>
  </conditionalFormatting>
  <conditionalFormatting sqref="H428:H431">
    <cfRule type="cellIs" dxfId="30" priority="5" operator="lessThan">
      <formula>0</formula>
    </cfRule>
    <cfRule type="cellIs" dxfId="29" priority="6" operator="greaterThan">
      <formula>0</formula>
    </cfRule>
  </conditionalFormatting>
  <pageMargins left="0.7" right="0.7" top="0.75" bottom="0.75" header="0.3" footer="0.3"/>
  <pageSetup scale="6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4283-3804-ED48-9293-C202FAE0C035}">
  <sheetPr>
    <pageSetUpPr fitToPage="1"/>
  </sheetPr>
  <dimension ref="A1:M234"/>
  <sheetViews>
    <sheetView workbookViewId="0">
      <pane ySplit="1" topLeftCell="A21" activePane="bottomLeft" state="frozen"/>
      <selection pane="bottomLeft" activeCell="J181" sqref="J181"/>
    </sheetView>
  </sheetViews>
  <sheetFormatPr baseColWidth="10" defaultColWidth="11" defaultRowHeight="15.75" customHeight="1"/>
  <cols>
    <col min="1" max="1" width="12.5" style="51" bestFit="1" customWidth="1"/>
    <col min="2" max="2" width="26.6640625" style="51" bestFit="1" customWidth="1"/>
    <col min="3" max="3" width="9.1640625" style="51" bestFit="1" customWidth="1"/>
    <col min="4" max="4" width="12.1640625" style="51" bestFit="1" customWidth="1"/>
    <col min="5" max="5" width="11" style="51"/>
    <col min="6" max="6" width="16.6640625" style="51" bestFit="1" customWidth="1"/>
    <col min="7" max="7" width="19.6640625" style="51" bestFit="1" customWidth="1"/>
    <col min="8" max="8" width="18.1640625" style="51" bestFit="1" customWidth="1"/>
    <col min="9" max="9" width="15.1640625" style="51" bestFit="1" customWidth="1"/>
    <col min="10" max="10" width="28.1640625" bestFit="1" customWidth="1"/>
    <col min="11" max="11" width="12.6640625" bestFit="1" customWidth="1"/>
    <col min="12" max="12" width="17.33203125" bestFit="1" customWidth="1"/>
    <col min="13" max="13" width="47.5" customWidth="1"/>
  </cols>
  <sheetData>
    <row r="1" spans="1:13" ht="1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89" t="s">
        <v>8</v>
      </c>
      <c r="J1" s="88" t="s">
        <v>9</v>
      </c>
      <c r="K1" s="88" t="s">
        <v>10</v>
      </c>
      <c r="L1" s="88" t="s">
        <v>11</v>
      </c>
      <c r="M1" s="88" t="s">
        <v>12</v>
      </c>
    </row>
    <row r="2" spans="1:13" ht="15.75" customHeight="1">
      <c r="A2" s="35" t="s">
        <v>942</v>
      </c>
      <c r="B2" s="36" t="s">
        <v>943</v>
      </c>
      <c r="C2" s="36" t="s">
        <v>15</v>
      </c>
      <c r="D2" s="36" t="s">
        <v>944</v>
      </c>
      <c r="E2" s="36" t="s">
        <v>17</v>
      </c>
      <c r="F2" s="36">
        <v>17.748000000000001</v>
      </c>
      <c r="G2" s="36">
        <f t="shared" ref="G2:G18" si="0">F2/F3</f>
        <v>0.81814410178398567</v>
      </c>
      <c r="H2" s="37">
        <f t="shared" ref="H2:H18" si="1">(G2-0.94)/0.52</f>
        <v>-0.23433826580002745</v>
      </c>
      <c r="I2" s="72" t="s">
        <v>380</v>
      </c>
    </row>
    <row r="3" spans="1:13" ht="16">
      <c r="A3" s="35"/>
      <c r="B3" s="36"/>
      <c r="C3" s="4"/>
      <c r="D3" s="3" t="s">
        <v>944</v>
      </c>
      <c r="E3" s="3" t="s">
        <v>19</v>
      </c>
      <c r="F3" s="3">
        <v>21.693000000000001</v>
      </c>
      <c r="G3" s="3"/>
      <c r="H3" s="33"/>
    </row>
    <row r="4" spans="1:13" ht="16">
      <c r="A4" s="23" t="s">
        <v>942</v>
      </c>
      <c r="B4" s="3" t="s">
        <v>945</v>
      </c>
      <c r="C4" s="3" t="s">
        <v>472</v>
      </c>
      <c r="D4" s="3" t="s">
        <v>946</v>
      </c>
      <c r="E4" s="3" t="s">
        <v>17</v>
      </c>
      <c r="F4" s="3">
        <v>18.376000000000001</v>
      </c>
      <c r="G4" s="3">
        <f t="shared" si="0"/>
        <v>0.74532549178665586</v>
      </c>
      <c r="H4" s="33">
        <f t="shared" si="1"/>
        <v>-0.37437405425643094</v>
      </c>
      <c r="I4" s="72" t="s">
        <v>380</v>
      </c>
      <c r="J4" s="58" t="s">
        <v>947</v>
      </c>
      <c r="K4" s="57" t="s">
        <v>942</v>
      </c>
      <c r="L4" s="82">
        <v>44797</v>
      </c>
      <c r="M4" s="83" t="s">
        <v>24</v>
      </c>
    </row>
    <row r="5" spans="1:13" ht="16">
      <c r="A5" s="23"/>
      <c r="B5" s="3"/>
      <c r="C5" s="4"/>
      <c r="D5" s="3" t="s">
        <v>946</v>
      </c>
      <c r="E5" s="3" t="s">
        <v>19</v>
      </c>
      <c r="F5" s="3">
        <v>24.655000000000001</v>
      </c>
      <c r="G5" s="3"/>
      <c r="H5" s="33"/>
    </row>
    <row r="6" spans="1:13" ht="16">
      <c r="A6" s="23" t="s">
        <v>942</v>
      </c>
      <c r="B6" s="3" t="s">
        <v>948</v>
      </c>
      <c r="C6" s="3" t="s">
        <v>33</v>
      </c>
      <c r="D6" s="3" t="s">
        <v>949</v>
      </c>
      <c r="E6" s="3" t="s">
        <v>17</v>
      </c>
      <c r="F6" s="3">
        <v>17.786999999999999</v>
      </c>
      <c r="G6" s="3">
        <f t="shared" si="0"/>
        <v>0.65926612305411414</v>
      </c>
      <c r="H6" s="33">
        <f t="shared" si="1"/>
        <v>-0.5398728402805496</v>
      </c>
      <c r="I6" s="72" t="s">
        <v>380</v>
      </c>
      <c r="J6" s="171" t="s">
        <v>950</v>
      </c>
      <c r="K6" s="170" t="s">
        <v>942</v>
      </c>
      <c r="L6" s="82">
        <v>44585</v>
      </c>
      <c r="M6" s="83" t="s">
        <v>24</v>
      </c>
    </row>
    <row r="7" spans="1:13" ht="16">
      <c r="A7" s="23"/>
      <c r="B7" s="3"/>
      <c r="C7" s="3"/>
      <c r="D7" s="3" t="s">
        <v>949</v>
      </c>
      <c r="E7" s="3" t="s">
        <v>19</v>
      </c>
      <c r="F7" s="3">
        <v>26.98</v>
      </c>
      <c r="G7" s="3"/>
      <c r="H7" s="33"/>
    </row>
    <row r="8" spans="1:13" s="122" customFormat="1" ht="16">
      <c r="A8" s="127"/>
      <c r="B8" s="128"/>
      <c r="C8" s="128"/>
      <c r="D8" s="128"/>
      <c r="E8" s="128"/>
      <c r="F8" s="128"/>
      <c r="G8" s="128"/>
      <c r="H8" s="134"/>
      <c r="I8" s="126"/>
    </row>
    <row r="9" spans="1:13" ht="15.75" customHeight="1">
      <c r="A9" s="23" t="s">
        <v>951</v>
      </c>
      <c r="B9" s="3" t="s">
        <v>952</v>
      </c>
      <c r="C9" s="3" t="s">
        <v>15</v>
      </c>
      <c r="D9" s="3" t="s">
        <v>953</v>
      </c>
      <c r="E9" s="3" t="s">
        <v>17</v>
      </c>
      <c r="F9" s="3">
        <v>18.231999999999999</v>
      </c>
      <c r="G9" s="3">
        <f t="shared" si="0"/>
        <v>0.92094761832600891</v>
      </c>
      <c r="H9" s="33">
        <f t="shared" si="1"/>
        <v>-3.6639195526905838E-2</v>
      </c>
      <c r="I9" s="72" t="s">
        <v>380</v>
      </c>
    </row>
    <row r="10" spans="1:13" ht="16">
      <c r="A10" s="23"/>
      <c r="B10" s="3"/>
      <c r="C10" s="3"/>
      <c r="D10" s="3" t="s">
        <v>953</v>
      </c>
      <c r="E10" s="3" t="s">
        <v>19</v>
      </c>
      <c r="F10" s="3">
        <v>19.797000000000001</v>
      </c>
      <c r="G10" s="3"/>
      <c r="H10" s="33"/>
    </row>
    <row r="11" spans="1:13" ht="16">
      <c r="A11" s="23" t="s">
        <v>951</v>
      </c>
      <c r="B11" s="3" t="s">
        <v>954</v>
      </c>
      <c r="C11" s="3" t="s">
        <v>472</v>
      </c>
      <c r="D11" s="3" t="s">
        <v>955</v>
      </c>
      <c r="E11" s="3" t="s">
        <v>17</v>
      </c>
      <c r="F11" s="3">
        <v>18.327999999999999</v>
      </c>
      <c r="G11" s="3">
        <f t="shared" si="0"/>
        <v>0.88695315524583807</v>
      </c>
      <c r="H11" s="33">
        <f t="shared" si="1"/>
        <v>-0.10201316298877285</v>
      </c>
      <c r="I11" s="72" t="s">
        <v>380</v>
      </c>
      <c r="J11" s="58" t="s">
        <v>956</v>
      </c>
      <c r="K11" s="57" t="s">
        <v>957</v>
      </c>
      <c r="L11" s="82">
        <v>44797</v>
      </c>
      <c r="M11" s="83" t="s">
        <v>24</v>
      </c>
    </row>
    <row r="12" spans="1:13" ht="16">
      <c r="A12" s="23"/>
      <c r="B12" s="3"/>
      <c r="C12" s="3"/>
      <c r="D12" s="3" t="s">
        <v>955</v>
      </c>
      <c r="E12" s="3" t="s">
        <v>19</v>
      </c>
      <c r="F12" s="3">
        <v>20.664000000000001</v>
      </c>
      <c r="G12" s="3"/>
      <c r="H12" s="33"/>
    </row>
    <row r="13" spans="1:13" ht="16">
      <c r="A13" s="23" t="s">
        <v>951</v>
      </c>
      <c r="B13" s="3" t="s">
        <v>958</v>
      </c>
      <c r="C13" s="3" t="s">
        <v>33</v>
      </c>
      <c r="D13" s="3" t="s">
        <v>959</v>
      </c>
      <c r="E13" s="3" t="s">
        <v>17</v>
      </c>
      <c r="F13" s="3">
        <v>19.771000000000001</v>
      </c>
      <c r="G13" s="3">
        <f t="shared" si="0"/>
        <v>1.1262318427798348</v>
      </c>
      <c r="H13" s="25">
        <f t="shared" si="1"/>
        <v>0.35813815919199005</v>
      </c>
      <c r="I13" s="72" t="s">
        <v>380</v>
      </c>
      <c r="J13" s="58" t="s">
        <v>960</v>
      </c>
      <c r="K13" s="57" t="s">
        <v>957</v>
      </c>
      <c r="L13" s="82">
        <v>44797</v>
      </c>
      <c r="M13" s="83" t="s">
        <v>24</v>
      </c>
    </row>
    <row r="14" spans="1:13" ht="16">
      <c r="A14" s="23"/>
      <c r="B14" s="3"/>
      <c r="C14" s="3"/>
      <c r="D14" s="3" t="s">
        <v>959</v>
      </c>
      <c r="E14" s="3" t="s">
        <v>19</v>
      </c>
      <c r="F14" s="3">
        <v>17.555</v>
      </c>
      <c r="G14" s="3"/>
      <c r="H14" s="25"/>
    </row>
    <row r="15" spans="1:13" s="122" customFormat="1" ht="16">
      <c r="A15" s="127"/>
      <c r="B15" s="128"/>
      <c r="C15" s="128"/>
      <c r="D15" s="128"/>
      <c r="E15" s="128"/>
      <c r="F15" s="128"/>
      <c r="G15" s="128"/>
      <c r="H15" s="134"/>
      <c r="I15" s="126"/>
    </row>
    <row r="16" spans="1:13" ht="15.75" customHeight="1">
      <c r="A16" s="23" t="s">
        <v>961</v>
      </c>
      <c r="B16" s="3" t="s">
        <v>962</v>
      </c>
      <c r="C16" s="3" t="s">
        <v>15</v>
      </c>
      <c r="D16" s="3" t="s">
        <v>963</v>
      </c>
      <c r="E16" s="3" t="s">
        <v>17</v>
      </c>
      <c r="F16" s="3">
        <v>17.791</v>
      </c>
      <c r="G16" s="3">
        <f t="shared" si="0"/>
        <v>0.83927729031040665</v>
      </c>
      <c r="H16" s="33">
        <f t="shared" si="1"/>
        <v>-0.19369751863383325</v>
      </c>
      <c r="I16" s="72" t="s">
        <v>380</v>
      </c>
    </row>
    <row r="17" spans="1:13" ht="16">
      <c r="A17" s="23"/>
      <c r="B17" s="3"/>
      <c r="C17" s="3"/>
      <c r="D17" s="3" t="s">
        <v>963</v>
      </c>
      <c r="E17" s="3" t="s">
        <v>19</v>
      </c>
      <c r="F17" s="3">
        <v>21.198</v>
      </c>
      <c r="G17" s="3"/>
      <c r="H17" s="33"/>
    </row>
    <row r="18" spans="1:13" ht="16">
      <c r="A18" s="23" t="s">
        <v>961</v>
      </c>
      <c r="B18" s="3" t="s">
        <v>964</v>
      </c>
      <c r="C18" s="3" t="s">
        <v>472</v>
      </c>
      <c r="D18" s="3" t="s">
        <v>965</v>
      </c>
      <c r="E18" s="3" t="s">
        <v>17</v>
      </c>
      <c r="F18" s="3">
        <v>18.163</v>
      </c>
      <c r="G18" s="3">
        <f t="shared" si="0"/>
        <v>1.0644045944678857</v>
      </c>
      <c r="H18" s="25">
        <f t="shared" si="1"/>
        <v>0.23923960474593414</v>
      </c>
      <c r="I18" s="72" t="s">
        <v>380</v>
      </c>
      <c r="J18" s="173" t="s">
        <v>964</v>
      </c>
      <c r="K18" s="172" t="s">
        <v>961</v>
      </c>
      <c r="L18" s="82">
        <v>44753</v>
      </c>
      <c r="M18" s="83" t="s">
        <v>24</v>
      </c>
    </row>
    <row r="19" spans="1:13" ht="16">
      <c r="A19" s="23"/>
      <c r="B19" s="3"/>
      <c r="C19" s="28"/>
      <c r="D19" s="26" t="s">
        <v>965</v>
      </c>
      <c r="E19" s="26" t="s">
        <v>19</v>
      </c>
      <c r="F19" s="26">
        <v>17.064</v>
      </c>
      <c r="G19" s="26"/>
      <c r="H19" s="34"/>
    </row>
    <row r="20" spans="1:13" ht="16">
      <c r="A20" s="68" t="s">
        <v>961</v>
      </c>
      <c r="B20" s="66" t="s">
        <v>966</v>
      </c>
      <c r="C20" s="66" t="s">
        <v>45</v>
      </c>
      <c r="D20" s="66" t="s">
        <v>312</v>
      </c>
      <c r="E20" s="66" t="s">
        <v>17</v>
      </c>
      <c r="F20" s="66">
        <v>26.274999999999999</v>
      </c>
      <c r="G20" s="66">
        <v>1.4212689999999999</v>
      </c>
      <c r="H20" s="308">
        <f t="shared" ref="H20" si="2">(G20-0.94)/0.52</f>
        <v>0.92551730769230756</v>
      </c>
      <c r="I20" s="72" t="s">
        <v>40</v>
      </c>
    </row>
    <row r="21" spans="1:13" ht="16">
      <c r="A21" s="68"/>
      <c r="B21" s="66"/>
      <c r="C21" s="65" t="s">
        <v>29</v>
      </c>
      <c r="D21" s="65" t="s">
        <v>312</v>
      </c>
      <c r="E21" s="65" t="s">
        <v>19</v>
      </c>
      <c r="F21" s="65">
        <v>18.486999999999998</v>
      </c>
      <c r="G21" s="266"/>
      <c r="H21" s="65" t="s">
        <v>29</v>
      </c>
    </row>
    <row r="22" spans="1:13" ht="16">
      <c r="A22" s="68" t="s">
        <v>961</v>
      </c>
      <c r="B22" s="66" t="s">
        <v>967</v>
      </c>
      <c r="C22" s="66" t="s">
        <v>38</v>
      </c>
      <c r="D22" s="66" t="s">
        <v>31</v>
      </c>
      <c r="E22" s="66" t="s">
        <v>17</v>
      </c>
      <c r="F22" s="66">
        <v>36.619999999999997</v>
      </c>
      <c r="G22" s="66">
        <v>2.1571630540000002</v>
      </c>
      <c r="H22" s="249">
        <v>2.3410000000000002</v>
      </c>
      <c r="I22" s="72" t="s">
        <v>131</v>
      </c>
    </row>
    <row r="23" spans="1:13" ht="16">
      <c r="A23" s="70" t="s">
        <v>29</v>
      </c>
      <c r="B23" s="65" t="s">
        <v>29</v>
      </c>
      <c r="C23" s="65" t="s">
        <v>29</v>
      </c>
      <c r="D23" s="65" t="s">
        <v>31</v>
      </c>
      <c r="E23" s="65" t="s">
        <v>19</v>
      </c>
      <c r="F23" s="65">
        <v>16.975999999999999</v>
      </c>
      <c r="G23" s="65" t="s">
        <v>29</v>
      </c>
      <c r="H23" s="65" t="s">
        <v>29</v>
      </c>
    </row>
    <row r="24" spans="1:13" ht="32">
      <c r="A24" s="68" t="s">
        <v>968</v>
      </c>
      <c r="B24" s="66" t="s">
        <v>962</v>
      </c>
      <c r="C24" s="66" t="s">
        <v>38</v>
      </c>
      <c r="D24" s="66" t="s">
        <v>22</v>
      </c>
      <c r="E24" s="66" t="s">
        <v>17</v>
      </c>
      <c r="F24" s="66">
        <v>29.553999999999998</v>
      </c>
      <c r="G24" s="66">
        <v>1.6913128079999999</v>
      </c>
      <c r="H24" s="69">
        <v>1.4450000000000001</v>
      </c>
      <c r="I24" s="72" t="s">
        <v>40</v>
      </c>
      <c r="J24" s="58" t="s">
        <v>969</v>
      </c>
      <c r="K24" s="57" t="s">
        <v>968</v>
      </c>
      <c r="L24" s="82">
        <v>44753</v>
      </c>
      <c r="M24" s="92" t="s">
        <v>970</v>
      </c>
    </row>
    <row r="25" spans="1:13" ht="16">
      <c r="A25" s="68"/>
      <c r="B25" s="66"/>
      <c r="C25" s="65" t="s">
        <v>29</v>
      </c>
      <c r="D25" s="65" t="s">
        <v>22</v>
      </c>
      <c r="E25" s="65" t="s">
        <v>19</v>
      </c>
      <c r="F25" s="65">
        <v>17.474</v>
      </c>
      <c r="G25" s="65" t="s">
        <v>29</v>
      </c>
      <c r="H25" s="65" t="s">
        <v>29</v>
      </c>
    </row>
    <row r="26" spans="1:13" ht="16">
      <c r="A26" s="70" t="s">
        <v>968</v>
      </c>
      <c r="B26" s="65" t="s">
        <v>971</v>
      </c>
      <c r="C26" s="65" t="s">
        <v>21</v>
      </c>
      <c r="D26" s="65" t="s">
        <v>335</v>
      </c>
      <c r="E26" s="65" t="s">
        <v>17</v>
      </c>
      <c r="F26" s="65">
        <v>27.597000000000001</v>
      </c>
      <c r="G26" s="65">
        <v>1.549087847</v>
      </c>
      <c r="H26" s="69">
        <v>1.171</v>
      </c>
      <c r="I26" s="72" t="s">
        <v>40</v>
      </c>
    </row>
    <row r="27" spans="1:13" ht="16">
      <c r="A27" s="70"/>
      <c r="B27" s="65"/>
      <c r="C27" s="65" t="s">
        <v>29</v>
      </c>
      <c r="D27" s="65" t="s">
        <v>335</v>
      </c>
      <c r="E27" s="65" t="s">
        <v>19</v>
      </c>
      <c r="F27" s="65">
        <v>17.815000000000001</v>
      </c>
      <c r="G27" s="65" t="s">
        <v>29</v>
      </c>
      <c r="H27" s="65" t="s">
        <v>29</v>
      </c>
    </row>
    <row r="28" spans="1:13" s="122" customFormat="1" ht="16">
      <c r="A28" s="139"/>
      <c r="B28" s="125"/>
      <c r="C28" s="125"/>
      <c r="D28" s="125"/>
      <c r="E28" s="125"/>
      <c r="F28" s="125"/>
      <c r="G28" s="125"/>
      <c r="H28" s="125"/>
      <c r="I28" s="126"/>
    </row>
    <row r="29" spans="1:13" ht="16">
      <c r="A29" s="70" t="s">
        <v>972</v>
      </c>
      <c r="B29" s="65" t="s">
        <v>973</v>
      </c>
      <c r="C29" s="65" t="s">
        <v>38</v>
      </c>
      <c r="D29" s="65" t="s">
        <v>231</v>
      </c>
      <c r="E29" s="65" t="s">
        <v>17</v>
      </c>
      <c r="F29" s="65">
        <v>19.216000000000001</v>
      </c>
      <c r="G29" s="65">
        <v>0.96869486299999996</v>
      </c>
      <c r="H29" s="274">
        <v>5.5E-2</v>
      </c>
      <c r="I29" s="72" t="s">
        <v>40</v>
      </c>
    </row>
    <row r="30" spans="1:13" ht="16">
      <c r="A30" s="70"/>
      <c r="B30" s="65"/>
      <c r="C30" s="65" t="s">
        <v>29</v>
      </c>
      <c r="D30" s="65" t="s">
        <v>231</v>
      </c>
      <c r="E30" s="65" t="s">
        <v>19</v>
      </c>
      <c r="F30" s="65">
        <v>19.837</v>
      </c>
      <c r="G30" s="65" t="s">
        <v>29</v>
      </c>
      <c r="H30" s="65" t="s">
        <v>29</v>
      </c>
    </row>
    <row r="31" spans="1:13" ht="16">
      <c r="A31" s="70" t="s">
        <v>972</v>
      </c>
      <c r="B31" s="65" t="s">
        <v>974</v>
      </c>
      <c r="C31" s="65" t="s">
        <v>21</v>
      </c>
      <c r="D31" s="65" t="s">
        <v>180</v>
      </c>
      <c r="E31" s="65" t="s">
        <v>17</v>
      </c>
      <c r="F31" s="65">
        <v>18.332999999999998</v>
      </c>
      <c r="G31" s="65">
        <v>0.81022671999999996</v>
      </c>
      <c r="H31" s="67">
        <v>-0.25</v>
      </c>
      <c r="I31" s="72" t="s">
        <v>40</v>
      </c>
      <c r="J31" s="58" t="s">
        <v>975</v>
      </c>
      <c r="K31" s="57" t="s">
        <v>972</v>
      </c>
      <c r="L31" s="82">
        <v>44797</v>
      </c>
      <c r="M31" s="83" t="s">
        <v>24</v>
      </c>
    </row>
    <row r="32" spans="1:13" ht="16">
      <c r="A32" s="70"/>
      <c r="B32" s="65"/>
      <c r="C32" s="65" t="s">
        <v>29</v>
      </c>
      <c r="D32" s="65" t="s">
        <v>180</v>
      </c>
      <c r="E32" s="65" t="s">
        <v>19</v>
      </c>
      <c r="F32" s="65">
        <v>22.626999999999999</v>
      </c>
      <c r="G32" s="65" t="s">
        <v>29</v>
      </c>
      <c r="H32" s="65" t="s">
        <v>29</v>
      </c>
    </row>
    <row r="33" spans="1:13" ht="16">
      <c r="A33" s="70" t="s">
        <v>972</v>
      </c>
      <c r="B33" s="65" t="s">
        <v>976</v>
      </c>
      <c r="C33" s="65" t="s">
        <v>45</v>
      </c>
      <c r="D33" s="65" t="s">
        <v>281</v>
      </c>
      <c r="E33" s="65" t="s">
        <v>17</v>
      </c>
      <c r="F33" s="65">
        <v>25.489000000000001</v>
      </c>
      <c r="G33" s="65">
        <v>1.0167537600000001</v>
      </c>
      <c r="H33" s="274">
        <v>0.14799999999999999</v>
      </c>
      <c r="I33" s="72" t="s">
        <v>40</v>
      </c>
    </row>
    <row r="34" spans="1:13" ht="16">
      <c r="A34" s="70"/>
      <c r="B34" s="65"/>
      <c r="C34" s="65" t="s">
        <v>29</v>
      </c>
      <c r="D34" s="65" t="s">
        <v>281</v>
      </c>
      <c r="E34" s="65" t="s">
        <v>19</v>
      </c>
      <c r="F34" s="65">
        <v>25.068999999999999</v>
      </c>
      <c r="G34" s="65" t="s">
        <v>29</v>
      </c>
      <c r="H34" s="65" t="s">
        <v>29</v>
      </c>
    </row>
    <row r="35" spans="1:13" ht="16">
      <c r="A35" s="70" t="s">
        <v>977</v>
      </c>
      <c r="B35" s="65" t="s">
        <v>973</v>
      </c>
      <c r="C35" s="65" t="s">
        <v>38</v>
      </c>
      <c r="D35" s="65" t="s">
        <v>242</v>
      </c>
      <c r="E35" s="65" t="s">
        <v>17</v>
      </c>
      <c r="F35" s="65">
        <v>18.067</v>
      </c>
      <c r="G35" s="65">
        <v>0.77298592399999999</v>
      </c>
      <c r="H35" s="67">
        <v>-0.32100000000000001</v>
      </c>
      <c r="I35" s="72" t="s">
        <v>40</v>
      </c>
    </row>
    <row r="36" spans="1:13" ht="16">
      <c r="A36" s="70"/>
      <c r="B36" s="65"/>
      <c r="C36" s="65" t="s">
        <v>29</v>
      </c>
      <c r="D36" s="65" t="s">
        <v>242</v>
      </c>
      <c r="E36" s="65" t="s">
        <v>19</v>
      </c>
      <c r="F36" s="65">
        <v>23.373000000000001</v>
      </c>
      <c r="G36" s="65" t="s">
        <v>29</v>
      </c>
      <c r="H36" s="65" t="s">
        <v>29</v>
      </c>
    </row>
    <row r="37" spans="1:13" ht="16">
      <c r="A37" s="70" t="s">
        <v>977</v>
      </c>
      <c r="B37" s="65" t="s">
        <v>974</v>
      </c>
      <c r="C37" s="65" t="s">
        <v>21</v>
      </c>
      <c r="D37" s="65" t="s">
        <v>299</v>
      </c>
      <c r="E37" s="65" t="s">
        <v>17</v>
      </c>
      <c r="F37" s="65">
        <v>19.745000000000001</v>
      </c>
      <c r="G37" s="65">
        <v>0.85001506699999996</v>
      </c>
      <c r="H37" s="67">
        <v>-0.17299999999999999</v>
      </c>
      <c r="I37" s="72" t="s">
        <v>40</v>
      </c>
      <c r="J37" s="58" t="s">
        <v>975</v>
      </c>
      <c r="K37" s="57" t="s">
        <v>977</v>
      </c>
      <c r="L37" s="82">
        <v>44797</v>
      </c>
      <c r="M37" s="83" t="s">
        <v>24</v>
      </c>
    </row>
    <row r="38" spans="1:13" ht="16">
      <c r="A38" s="70"/>
      <c r="B38" s="65"/>
      <c r="C38" s="65" t="s">
        <v>29</v>
      </c>
      <c r="D38" s="65" t="s">
        <v>299</v>
      </c>
      <c r="E38" s="65" t="s">
        <v>19</v>
      </c>
      <c r="F38" s="65">
        <v>23.228999999999999</v>
      </c>
      <c r="G38" s="65" t="s">
        <v>29</v>
      </c>
      <c r="H38" s="65" t="s">
        <v>29</v>
      </c>
    </row>
    <row r="39" spans="1:13" ht="16">
      <c r="A39" s="70" t="s">
        <v>977</v>
      </c>
      <c r="B39" s="65" t="s">
        <v>976</v>
      </c>
      <c r="C39" s="65" t="s">
        <v>45</v>
      </c>
      <c r="D39" s="65" t="s">
        <v>303</v>
      </c>
      <c r="E39" s="65" t="s">
        <v>17</v>
      </c>
      <c r="F39" s="65">
        <v>17.510000000000002</v>
      </c>
      <c r="G39" s="65">
        <v>0.69683221900000003</v>
      </c>
      <c r="H39" s="67">
        <v>-0.46800000000000003</v>
      </c>
      <c r="I39" s="72" t="s">
        <v>40</v>
      </c>
    </row>
    <row r="40" spans="1:13" ht="16">
      <c r="A40" s="70"/>
      <c r="B40" s="65"/>
      <c r="C40" s="65" t="s">
        <v>29</v>
      </c>
      <c r="D40" s="65" t="s">
        <v>303</v>
      </c>
      <c r="E40" s="65" t="s">
        <v>19</v>
      </c>
      <c r="F40" s="65">
        <v>25.128</v>
      </c>
      <c r="G40" s="65" t="s">
        <v>29</v>
      </c>
      <c r="H40" s="65" t="s">
        <v>29</v>
      </c>
    </row>
    <row r="41" spans="1:13" s="122" customFormat="1" ht="16">
      <c r="A41" s="139"/>
      <c r="B41" s="125"/>
      <c r="C41" s="125"/>
      <c r="D41" s="125"/>
      <c r="E41" s="125"/>
      <c r="F41" s="125"/>
      <c r="G41" s="125"/>
      <c r="H41" s="125"/>
      <c r="I41" s="126"/>
    </row>
    <row r="42" spans="1:13" ht="16">
      <c r="A42" s="3" t="s">
        <v>978</v>
      </c>
      <c r="B42" s="3" t="s">
        <v>979</v>
      </c>
      <c r="C42" s="3" t="s">
        <v>15</v>
      </c>
      <c r="D42" s="4" t="s">
        <v>42</v>
      </c>
      <c r="E42" s="4" t="s">
        <v>17</v>
      </c>
      <c r="F42" s="4">
        <v>18.934000000000001</v>
      </c>
      <c r="G42" s="3">
        <f>F42/F43</f>
        <v>0.90545645832337052</v>
      </c>
      <c r="H42" s="41">
        <f t="shared" ref="H42" si="3">(G42-0.94)/0.52</f>
        <v>-6.6429887839671978E-2</v>
      </c>
      <c r="I42" s="72" t="s">
        <v>18</v>
      </c>
    </row>
    <row r="43" spans="1:13" ht="16">
      <c r="A43" s="3"/>
      <c r="B43" s="3"/>
      <c r="C43" s="4"/>
      <c r="D43" s="4" t="s">
        <v>42</v>
      </c>
      <c r="E43" s="4" t="s">
        <v>19</v>
      </c>
      <c r="F43" s="4">
        <v>20.911000000000001</v>
      </c>
      <c r="G43" s="3"/>
      <c r="H43" s="41"/>
    </row>
    <row r="44" spans="1:13" s="122" customFormat="1" ht="16">
      <c r="A44" s="135"/>
      <c r="B44" s="136"/>
      <c r="C44" s="137"/>
      <c r="D44" s="137"/>
      <c r="E44" s="137"/>
      <c r="F44" s="137"/>
      <c r="G44" s="136"/>
      <c r="H44" s="140"/>
      <c r="I44" s="126"/>
    </row>
    <row r="45" spans="1:13" ht="16">
      <c r="A45" s="70" t="s">
        <v>980</v>
      </c>
      <c r="B45" s="65" t="s">
        <v>981</v>
      </c>
      <c r="C45" s="65" t="s">
        <v>38</v>
      </c>
      <c r="D45" s="65" t="s">
        <v>223</v>
      </c>
      <c r="E45" s="65" t="s">
        <v>17</v>
      </c>
      <c r="F45" s="65">
        <v>17.75</v>
      </c>
      <c r="G45" s="65">
        <v>0.88440458399999999</v>
      </c>
      <c r="H45" s="67">
        <v>-0.107</v>
      </c>
      <c r="I45" s="72" t="s">
        <v>40</v>
      </c>
    </row>
    <row r="46" spans="1:13" ht="16">
      <c r="A46" s="70"/>
      <c r="B46" s="65"/>
      <c r="C46" s="65" t="s">
        <v>29</v>
      </c>
      <c r="D46" s="65" t="s">
        <v>223</v>
      </c>
      <c r="E46" s="65" t="s">
        <v>19</v>
      </c>
      <c r="F46" s="65">
        <v>20.07</v>
      </c>
      <c r="G46" s="65" t="s">
        <v>29</v>
      </c>
      <c r="H46" s="65" t="s">
        <v>29</v>
      </c>
    </row>
    <row r="47" spans="1:13" ht="16">
      <c r="A47" s="70" t="s">
        <v>980</v>
      </c>
      <c r="B47" s="65" t="s">
        <v>982</v>
      </c>
      <c r="C47" s="65" t="s">
        <v>21</v>
      </c>
      <c r="D47" s="65" t="s">
        <v>89</v>
      </c>
      <c r="E47" s="65" t="s">
        <v>17</v>
      </c>
      <c r="F47" s="65">
        <v>18.693000000000001</v>
      </c>
      <c r="G47" s="65">
        <v>0.66916055100000005</v>
      </c>
      <c r="H47" s="67">
        <v>-0.52100000000000002</v>
      </c>
      <c r="I47" s="72" t="s">
        <v>40</v>
      </c>
      <c r="J47" s="58" t="s">
        <v>983</v>
      </c>
      <c r="K47" s="57" t="s">
        <v>980</v>
      </c>
      <c r="L47" s="82">
        <v>44797</v>
      </c>
      <c r="M47" s="83" t="s">
        <v>24</v>
      </c>
    </row>
    <row r="48" spans="1:13" ht="16">
      <c r="A48" s="70"/>
      <c r="B48" s="65"/>
      <c r="C48" s="65" t="s">
        <v>29</v>
      </c>
      <c r="D48" s="65" t="s">
        <v>89</v>
      </c>
      <c r="E48" s="65" t="s">
        <v>19</v>
      </c>
      <c r="F48" s="65">
        <v>27.934999999999999</v>
      </c>
      <c r="G48" s="65" t="s">
        <v>29</v>
      </c>
      <c r="H48" s="65" t="s">
        <v>29</v>
      </c>
    </row>
    <row r="49" spans="1:13" ht="16"/>
    <row r="50" spans="1:13" ht="16"/>
    <row r="51" spans="1:13" ht="16">
      <c r="A51" s="268" t="s">
        <v>984</v>
      </c>
      <c r="B51" s="269" t="s">
        <v>981</v>
      </c>
      <c r="C51" s="269" t="s">
        <v>38</v>
      </c>
      <c r="D51" s="66" t="s">
        <v>173</v>
      </c>
      <c r="E51" s="66" t="s">
        <v>17</v>
      </c>
      <c r="F51" s="66">
        <v>16.989999999999998</v>
      </c>
      <c r="G51" s="66">
        <v>0.75726510999999996</v>
      </c>
      <c r="H51" s="247">
        <v>-0.35099999999999998</v>
      </c>
      <c r="I51" s="72" t="s">
        <v>269</v>
      </c>
    </row>
    <row r="52" spans="1:13" ht="15.75" customHeight="1">
      <c r="A52" s="70" t="s">
        <v>29</v>
      </c>
      <c r="B52" s="65" t="s">
        <v>29</v>
      </c>
      <c r="C52" s="65" t="s">
        <v>29</v>
      </c>
      <c r="D52" s="65" t="s">
        <v>173</v>
      </c>
      <c r="E52" s="65" t="s">
        <v>19</v>
      </c>
      <c r="F52" s="65">
        <v>22.436</v>
      </c>
      <c r="G52" s="65" t="s">
        <v>29</v>
      </c>
      <c r="H52" s="65" t="s">
        <v>29</v>
      </c>
    </row>
    <row r="53" spans="1:13" ht="15.75" customHeight="1">
      <c r="A53" s="270" t="s">
        <v>984</v>
      </c>
      <c r="B53" s="271" t="s">
        <v>982</v>
      </c>
      <c r="C53" s="271" t="s">
        <v>21</v>
      </c>
      <c r="D53" s="65" t="s">
        <v>39</v>
      </c>
      <c r="E53" s="65" t="s">
        <v>17</v>
      </c>
      <c r="F53" s="65">
        <v>16.885999999999999</v>
      </c>
      <c r="G53" s="65">
        <v>0.72351000499999996</v>
      </c>
      <c r="H53" s="247">
        <v>-0.41599999999999998</v>
      </c>
      <c r="I53" s="72" t="s">
        <v>269</v>
      </c>
      <c r="J53" s="58" t="s">
        <v>985</v>
      </c>
      <c r="K53" s="89" t="s">
        <v>986</v>
      </c>
      <c r="L53" s="180">
        <v>44966</v>
      </c>
      <c r="M53" s="300" t="s">
        <v>24</v>
      </c>
    </row>
    <row r="54" spans="1:13" ht="15.75" customHeight="1">
      <c r="A54" s="70" t="s">
        <v>29</v>
      </c>
      <c r="B54" s="65" t="s">
        <v>29</v>
      </c>
      <c r="C54" s="65" t="s">
        <v>29</v>
      </c>
      <c r="D54" s="65" t="s">
        <v>39</v>
      </c>
      <c r="E54" s="65" t="s">
        <v>19</v>
      </c>
      <c r="F54" s="65">
        <v>23.338999999999999</v>
      </c>
      <c r="G54" s="65" t="s">
        <v>29</v>
      </c>
      <c r="H54" s="65" t="s">
        <v>29</v>
      </c>
    </row>
    <row r="55" spans="1:13" ht="15.75" customHeight="1">
      <c r="A55" s="270" t="s">
        <v>984</v>
      </c>
      <c r="B55" s="271" t="s">
        <v>987</v>
      </c>
      <c r="C55" s="271" t="s">
        <v>45</v>
      </c>
      <c r="D55" s="65" t="s">
        <v>42</v>
      </c>
      <c r="E55" s="65" t="s">
        <v>17</v>
      </c>
      <c r="F55" s="65">
        <v>16.405000000000001</v>
      </c>
      <c r="G55" s="65">
        <v>0.63909774399999997</v>
      </c>
      <c r="H55" s="247">
        <v>-0.57899999999999996</v>
      </c>
      <c r="I55" s="72" t="s">
        <v>269</v>
      </c>
    </row>
    <row r="56" spans="1:13" ht="15.75" customHeight="1">
      <c r="A56" s="70" t="s">
        <v>29</v>
      </c>
      <c r="B56" s="65" t="s">
        <v>29</v>
      </c>
      <c r="C56" s="65" t="s">
        <v>29</v>
      </c>
      <c r="D56" s="65" t="s">
        <v>42</v>
      </c>
      <c r="E56" s="65" t="s">
        <v>19</v>
      </c>
      <c r="F56" s="65">
        <v>25.669</v>
      </c>
      <c r="G56" s="65" t="s">
        <v>29</v>
      </c>
      <c r="H56" s="65" t="s">
        <v>29</v>
      </c>
    </row>
    <row r="57" spans="1:13" ht="15.75" customHeight="1">
      <c r="A57" s="336" t="s">
        <v>988</v>
      </c>
      <c r="B57" s="3" t="s">
        <v>989</v>
      </c>
      <c r="C57" s="3" t="s">
        <v>45</v>
      </c>
      <c r="D57" s="3" t="s">
        <v>105</v>
      </c>
      <c r="E57" s="3" t="s">
        <v>17</v>
      </c>
      <c r="F57" s="3">
        <v>16.414999999999999</v>
      </c>
      <c r="G57" s="3">
        <f t="shared" ref="G57" si="4">F57/F58</f>
        <v>0.57423214160778002</v>
      </c>
      <c r="H57" s="308">
        <f t="shared" ref="H57" si="5">(G57-0.94)/0.52</f>
        <v>-0.70339972767734593</v>
      </c>
      <c r="I57" s="72" t="s">
        <v>232</v>
      </c>
    </row>
    <row r="58" spans="1:13" ht="15.75" customHeight="1">
      <c r="A58" s="7"/>
      <c r="B58" s="7"/>
      <c r="C58" s="7"/>
      <c r="D58" s="3" t="s">
        <v>105</v>
      </c>
      <c r="E58" s="3" t="s">
        <v>19</v>
      </c>
      <c r="F58" s="3">
        <v>28.585999999999999</v>
      </c>
      <c r="G58" s="3"/>
      <c r="H58" s="308"/>
    </row>
    <row r="59" spans="1:13" s="122" customFormat="1" ht="16">
      <c r="A59" s="126"/>
      <c r="B59" s="126"/>
      <c r="C59" s="126"/>
      <c r="D59" s="126"/>
      <c r="E59" s="126"/>
      <c r="F59" s="126"/>
      <c r="G59" s="126"/>
      <c r="H59" s="126"/>
      <c r="I59" s="126"/>
    </row>
    <row r="60" spans="1:13" ht="16">
      <c r="A60" s="198" t="s">
        <v>990</v>
      </c>
      <c r="B60" s="199" t="s">
        <v>991</v>
      </c>
      <c r="C60" s="199" t="s">
        <v>38</v>
      </c>
      <c r="D60" s="199" t="s">
        <v>68</v>
      </c>
      <c r="E60" s="199" t="s">
        <v>17</v>
      </c>
      <c r="F60" s="199">
        <v>18.538</v>
      </c>
      <c r="G60" s="199">
        <v>1.0464578040000001</v>
      </c>
      <c r="H60" s="252">
        <v>0.20499999999999999</v>
      </c>
      <c r="I60" s="72" t="s">
        <v>524</v>
      </c>
    </row>
    <row r="61" spans="1:13" ht="16">
      <c r="A61" s="198" t="s">
        <v>29</v>
      </c>
      <c r="B61" s="199" t="s">
        <v>29</v>
      </c>
      <c r="C61" s="199" t="s">
        <v>29</v>
      </c>
      <c r="D61" s="199" t="s">
        <v>68</v>
      </c>
      <c r="E61" s="199" t="s">
        <v>19</v>
      </c>
      <c r="F61" s="199">
        <v>17.715</v>
      </c>
      <c r="G61" s="199" t="s">
        <v>29</v>
      </c>
      <c r="H61" s="253" t="s">
        <v>29</v>
      </c>
    </row>
    <row r="62" spans="1:13" ht="16">
      <c r="A62" s="198" t="s">
        <v>990</v>
      </c>
      <c r="B62" s="199" t="s">
        <v>992</v>
      </c>
      <c r="C62" s="199" t="s">
        <v>21</v>
      </c>
      <c r="D62" s="199" t="s">
        <v>71</v>
      </c>
      <c r="E62" s="199" t="s">
        <v>17</v>
      </c>
      <c r="F62" s="199">
        <v>20.387</v>
      </c>
      <c r="G62" s="199">
        <v>0.96785985600000002</v>
      </c>
      <c r="H62" s="252">
        <v>5.3999999999999999E-2</v>
      </c>
      <c r="I62" s="72" t="s">
        <v>524</v>
      </c>
      <c r="J62" s="4" t="s">
        <v>993</v>
      </c>
      <c r="K62" s="221" t="s">
        <v>990</v>
      </c>
      <c r="L62" s="165">
        <v>44936</v>
      </c>
      <c r="M62" s="214" t="s">
        <v>24</v>
      </c>
    </row>
    <row r="63" spans="1:13" ht="16">
      <c r="A63" s="198" t="s">
        <v>29</v>
      </c>
      <c r="B63" s="199" t="s">
        <v>29</v>
      </c>
      <c r="C63" s="199" t="s">
        <v>29</v>
      </c>
      <c r="D63" s="199" t="s">
        <v>71</v>
      </c>
      <c r="E63" s="199" t="s">
        <v>19</v>
      </c>
      <c r="F63" s="199">
        <v>21.064</v>
      </c>
      <c r="G63" s="199" t="s">
        <v>29</v>
      </c>
      <c r="H63" s="253" t="s">
        <v>29</v>
      </c>
    </row>
    <row r="64" spans="1:13" ht="16">
      <c r="A64" s="198" t="s">
        <v>990</v>
      </c>
      <c r="B64" s="199" t="s">
        <v>994</v>
      </c>
      <c r="C64" s="199" t="s">
        <v>45</v>
      </c>
      <c r="D64" s="199" t="s">
        <v>74</v>
      </c>
      <c r="E64" s="199" t="s">
        <v>17</v>
      </c>
      <c r="F64" s="199">
        <v>17.959</v>
      </c>
      <c r="G64" s="199">
        <v>1.0009474970000001</v>
      </c>
      <c r="H64" s="252">
        <v>0.11700000000000001</v>
      </c>
      <c r="I64" s="72" t="s">
        <v>524</v>
      </c>
    </row>
    <row r="65" spans="1:13" ht="16">
      <c r="A65" s="198" t="s">
        <v>29</v>
      </c>
      <c r="B65" s="199" t="s">
        <v>29</v>
      </c>
      <c r="C65" s="199" t="s">
        <v>29</v>
      </c>
      <c r="D65" s="199" t="s">
        <v>74</v>
      </c>
      <c r="E65" s="199" t="s">
        <v>19</v>
      </c>
      <c r="F65" s="199">
        <v>17.942</v>
      </c>
      <c r="G65" s="199" t="s">
        <v>29</v>
      </c>
      <c r="H65" s="253" t="s">
        <v>29</v>
      </c>
    </row>
    <row r="66" spans="1:13" ht="15.75" customHeight="1">
      <c r="A66" s="3" t="s">
        <v>995</v>
      </c>
      <c r="B66" s="3" t="s">
        <v>991</v>
      </c>
      <c r="C66" s="3" t="s">
        <v>38</v>
      </c>
      <c r="D66" s="3" t="s">
        <v>231</v>
      </c>
      <c r="E66" s="3" t="s">
        <v>17</v>
      </c>
      <c r="F66" s="3">
        <v>17.347999999999999</v>
      </c>
      <c r="G66" s="3">
        <f t="shared" ref="G66:G68" si="6">F66/F67</f>
        <v>1.007491724258087</v>
      </c>
      <c r="H66" s="308">
        <f t="shared" ref="H66:H68" si="7">(G66-0.94)/0.52</f>
        <v>0.12979177741939812</v>
      </c>
      <c r="I66" s="72" t="s">
        <v>64</v>
      </c>
    </row>
    <row r="67" spans="1:13" ht="15.75" customHeight="1">
      <c r="A67" s="3"/>
      <c r="B67" s="3"/>
      <c r="C67" s="3"/>
      <c r="D67" s="3" t="s">
        <v>231</v>
      </c>
      <c r="E67" s="3" t="s">
        <v>19</v>
      </c>
      <c r="F67" s="3">
        <v>17.219000000000001</v>
      </c>
      <c r="G67" s="3"/>
      <c r="H67" s="308"/>
    </row>
    <row r="68" spans="1:13" ht="15.75" customHeight="1">
      <c r="A68" s="3" t="s">
        <v>995</v>
      </c>
      <c r="B68" s="3" t="s">
        <v>996</v>
      </c>
      <c r="C68" s="3" t="s">
        <v>45</v>
      </c>
      <c r="D68" s="3" t="s">
        <v>180</v>
      </c>
      <c r="E68" s="3" t="s">
        <v>17</v>
      </c>
      <c r="F68" s="3">
        <v>17.001999999999999</v>
      </c>
      <c r="G68" s="3">
        <f t="shared" si="6"/>
        <v>0.66792378707523081</v>
      </c>
      <c r="H68" s="308">
        <f t="shared" si="7"/>
        <v>-0.5232234863937868</v>
      </c>
      <c r="I68" s="72" t="s">
        <v>64</v>
      </c>
      <c r="J68" s="4" t="s">
        <v>997</v>
      </c>
      <c r="K68" s="221" t="s">
        <v>998</v>
      </c>
      <c r="L68" s="165">
        <v>44980</v>
      </c>
      <c r="M68" s="214" t="s">
        <v>24</v>
      </c>
    </row>
    <row r="69" spans="1:13" ht="15.75" customHeight="1">
      <c r="A69" s="3"/>
      <c r="B69" s="3"/>
      <c r="C69" s="3"/>
      <c r="D69" s="3" t="s">
        <v>180</v>
      </c>
      <c r="E69" s="3" t="s">
        <v>19</v>
      </c>
      <c r="F69" s="3">
        <v>25.454999999999998</v>
      </c>
      <c r="G69" s="3"/>
      <c r="H69" s="308"/>
    </row>
    <row r="70" spans="1:13" ht="15.75" customHeight="1">
      <c r="A70" s="3" t="s">
        <v>995</v>
      </c>
      <c r="B70" s="3" t="s">
        <v>992</v>
      </c>
      <c r="C70" s="3" t="s">
        <v>21</v>
      </c>
      <c r="D70" s="3" t="s">
        <v>281</v>
      </c>
      <c r="E70" s="3" t="s">
        <v>17</v>
      </c>
      <c r="F70" s="3">
        <v>19.021000000000001</v>
      </c>
      <c r="G70" s="3">
        <f t="shared" ref="G70" si="8">F70/F71</f>
        <v>0.63619640109706344</v>
      </c>
      <c r="H70" s="308">
        <f t="shared" ref="H70" si="9">(G70-0.94)/0.52</f>
        <v>-0.5842376901979548</v>
      </c>
      <c r="I70" s="72" t="s">
        <v>64</v>
      </c>
    </row>
    <row r="71" spans="1:13" ht="15.75" customHeight="1">
      <c r="A71" s="3"/>
      <c r="B71" s="3"/>
      <c r="C71" s="3"/>
      <c r="D71" s="3" t="s">
        <v>281</v>
      </c>
      <c r="E71" s="3" t="s">
        <v>19</v>
      </c>
      <c r="F71" s="3">
        <v>29.898</v>
      </c>
      <c r="G71" s="3"/>
      <c r="H71" s="308"/>
    </row>
    <row r="72" spans="1:13" ht="15.75" customHeight="1">
      <c r="A72" s="3" t="s">
        <v>995</v>
      </c>
      <c r="B72" s="3" t="s">
        <v>994</v>
      </c>
      <c r="C72" s="3" t="s">
        <v>45</v>
      </c>
      <c r="D72" s="3" t="s">
        <v>242</v>
      </c>
      <c r="E72" s="3" t="s">
        <v>17</v>
      </c>
      <c r="F72" s="3">
        <v>16.713999999999999</v>
      </c>
      <c r="G72" s="3">
        <f t="shared" ref="G72" si="10">F72/F73</f>
        <v>0.64089880746961148</v>
      </c>
      <c r="H72" s="308">
        <f t="shared" ref="H72" si="11">(G72-0.94)/0.52</f>
        <v>-0.57519460101997777</v>
      </c>
      <c r="I72" s="72" t="s">
        <v>64</v>
      </c>
    </row>
    <row r="73" spans="1:13" ht="15.75" customHeight="1">
      <c r="A73" s="3"/>
      <c r="B73" s="3"/>
      <c r="C73" s="3"/>
      <c r="D73" s="3" t="s">
        <v>242</v>
      </c>
      <c r="E73" s="3" t="s">
        <v>19</v>
      </c>
      <c r="F73" s="3">
        <v>26.079000000000001</v>
      </c>
      <c r="G73" s="3"/>
      <c r="H73" s="308"/>
    </row>
    <row r="76" spans="1:13" s="122" customFormat="1" ht="16">
      <c r="A76" s="126"/>
      <c r="B76" s="126"/>
      <c r="C76" s="126"/>
      <c r="D76" s="126"/>
      <c r="E76" s="126"/>
      <c r="F76" s="126"/>
      <c r="G76" s="126"/>
      <c r="H76" s="126"/>
      <c r="I76" s="126"/>
    </row>
    <row r="77" spans="1:13" ht="15.75" customHeight="1">
      <c r="A77" s="68" t="s">
        <v>999</v>
      </c>
      <c r="B77" s="66" t="s">
        <v>1000</v>
      </c>
      <c r="C77" s="66" t="s">
        <v>38</v>
      </c>
      <c r="D77" s="66" t="s">
        <v>68</v>
      </c>
      <c r="E77" s="66" t="s">
        <v>17</v>
      </c>
      <c r="F77" s="66">
        <v>38.177999999999997</v>
      </c>
      <c r="G77" s="66">
        <v>2.1671113129999999</v>
      </c>
      <c r="H77" s="267">
        <v>2.36</v>
      </c>
      <c r="I77" s="72" t="s">
        <v>78</v>
      </c>
      <c r="J77" s="89" t="s">
        <v>1001</v>
      </c>
      <c r="K77" s="89" t="s">
        <v>1002</v>
      </c>
      <c r="L77" s="180">
        <v>44980</v>
      </c>
      <c r="M77" s="166" t="s">
        <v>297</v>
      </c>
    </row>
    <row r="78" spans="1:13" ht="15.75" customHeight="1">
      <c r="A78" s="70" t="s">
        <v>29</v>
      </c>
      <c r="B78" s="65" t="s">
        <v>29</v>
      </c>
      <c r="C78" s="65" t="s">
        <v>29</v>
      </c>
      <c r="D78" s="65" t="s">
        <v>68</v>
      </c>
      <c r="E78" s="65" t="s">
        <v>19</v>
      </c>
      <c r="F78" s="65">
        <v>17.617000000000001</v>
      </c>
      <c r="G78" s="65" t="s">
        <v>29</v>
      </c>
      <c r="H78" s="65" t="s">
        <v>29</v>
      </c>
    </row>
    <row r="79" spans="1:13" ht="15.75" customHeight="1">
      <c r="A79" s="70" t="s">
        <v>999</v>
      </c>
      <c r="B79" s="65" t="s">
        <v>1003</v>
      </c>
      <c r="C79" s="65" t="s">
        <v>21</v>
      </c>
      <c r="D79" s="65" t="s">
        <v>71</v>
      </c>
      <c r="E79" s="65" t="s">
        <v>17</v>
      </c>
      <c r="F79" s="65">
        <v>35.976999999999997</v>
      </c>
      <c r="G79" s="65">
        <v>2.1194108979999999</v>
      </c>
      <c r="H79" s="267">
        <v>2.2679999999999998</v>
      </c>
      <c r="I79" s="72" t="s">
        <v>78</v>
      </c>
      <c r="J79" s="89" t="s">
        <v>1004</v>
      </c>
      <c r="K79" s="89" t="s">
        <v>999</v>
      </c>
      <c r="L79" s="180">
        <v>44907</v>
      </c>
      <c r="M79" s="166" t="s">
        <v>297</v>
      </c>
    </row>
    <row r="80" spans="1:13" ht="15.75" customHeight="1">
      <c r="A80" s="70" t="s">
        <v>29</v>
      </c>
      <c r="B80" s="65" t="s">
        <v>29</v>
      </c>
      <c r="C80" s="65" t="s">
        <v>29</v>
      </c>
      <c r="D80" s="65" t="s">
        <v>71</v>
      </c>
      <c r="E80" s="65" t="s">
        <v>19</v>
      </c>
      <c r="F80" s="65">
        <v>16.975000000000001</v>
      </c>
      <c r="G80" s="65" t="s">
        <v>29</v>
      </c>
      <c r="H80" s="65" t="s">
        <v>29</v>
      </c>
    </row>
    <row r="81" spans="1:13" ht="15.75" customHeight="1">
      <c r="A81" s="70" t="s">
        <v>999</v>
      </c>
      <c r="B81" s="65" t="s">
        <v>1005</v>
      </c>
      <c r="C81" s="65" t="s">
        <v>45</v>
      </c>
      <c r="D81" s="65" t="s">
        <v>74</v>
      </c>
      <c r="E81" s="65" t="s">
        <v>17</v>
      </c>
      <c r="F81" s="65">
        <v>34.094999999999999</v>
      </c>
      <c r="G81" s="65">
        <v>1.9865408149999999</v>
      </c>
      <c r="H81" s="267">
        <v>2.0129999999999999</v>
      </c>
      <c r="I81" s="72" t="s">
        <v>78</v>
      </c>
    </row>
    <row r="82" spans="1:13" ht="15.75" customHeight="1">
      <c r="A82" s="70" t="s">
        <v>29</v>
      </c>
      <c r="B82" s="65" t="s">
        <v>29</v>
      </c>
      <c r="C82" s="65" t="s">
        <v>29</v>
      </c>
      <c r="D82" s="65" t="s">
        <v>74</v>
      </c>
      <c r="E82" s="65" t="s">
        <v>19</v>
      </c>
      <c r="F82" s="65">
        <v>17.163</v>
      </c>
      <c r="G82" s="65" t="s">
        <v>29</v>
      </c>
      <c r="H82" s="65" t="s">
        <v>29</v>
      </c>
    </row>
    <row r="88" spans="1:13" s="122" customFormat="1" ht="15.75" customHeight="1">
      <c r="A88" s="126"/>
      <c r="B88" s="126"/>
      <c r="C88" s="126"/>
      <c r="D88" s="126"/>
      <c r="E88" s="126"/>
      <c r="F88" s="126"/>
      <c r="G88" s="126"/>
      <c r="H88" s="126"/>
      <c r="I88" s="126"/>
    </row>
    <row r="89" spans="1:13" ht="15.75" customHeight="1">
      <c r="A89" s="68" t="s">
        <v>1006</v>
      </c>
      <c r="B89" s="66" t="s">
        <v>979</v>
      </c>
      <c r="C89" s="66" t="s">
        <v>38</v>
      </c>
      <c r="D89" s="66" t="s">
        <v>81</v>
      </c>
      <c r="E89" s="66" t="s">
        <v>17</v>
      </c>
      <c r="F89" s="66">
        <v>17.797000000000001</v>
      </c>
      <c r="G89" s="66">
        <v>0.84186376500000004</v>
      </c>
      <c r="H89" s="247">
        <v>-0.189</v>
      </c>
      <c r="I89" s="72" t="s">
        <v>78</v>
      </c>
    </row>
    <row r="90" spans="1:13" ht="15.75" customHeight="1">
      <c r="A90" s="70" t="s">
        <v>29</v>
      </c>
      <c r="B90" s="65" t="s">
        <v>29</v>
      </c>
      <c r="C90" s="65" t="s">
        <v>29</v>
      </c>
      <c r="D90" s="65" t="s">
        <v>81</v>
      </c>
      <c r="E90" s="65" t="s">
        <v>19</v>
      </c>
      <c r="F90" s="65">
        <v>21.14</v>
      </c>
      <c r="G90" s="65" t="s">
        <v>29</v>
      </c>
      <c r="H90" s="65" t="s">
        <v>29</v>
      </c>
    </row>
    <row r="91" spans="1:13" ht="15.75" customHeight="1">
      <c r="A91" s="70" t="s">
        <v>1006</v>
      </c>
      <c r="B91" s="65" t="s">
        <v>1007</v>
      </c>
      <c r="C91" s="65" t="s">
        <v>21</v>
      </c>
      <c r="D91" s="65" t="s">
        <v>83</v>
      </c>
      <c r="E91" s="65" t="s">
        <v>17</v>
      </c>
      <c r="F91" s="65">
        <v>17.864999999999998</v>
      </c>
      <c r="G91" s="65">
        <v>0.84925841400000002</v>
      </c>
      <c r="H91" s="247">
        <v>-0.17499999999999999</v>
      </c>
      <c r="I91" s="72" t="s">
        <v>78</v>
      </c>
      <c r="J91" s="89" t="s">
        <v>1008</v>
      </c>
      <c r="K91" s="89" t="s">
        <v>1006</v>
      </c>
      <c r="L91" s="165">
        <v>44907</v>
      </c>
      <c r="M91" s="181" t="s">
        <v>24</v>
      </c>
    </row>
    <row r="92" spans="1:13" ht="15.75" customHeight="1">
      <c r="A92" s="70" t="s">
        <v>29</v>
      </c>
      <c r="B92" s="65" t="s">
        <v>29</v>
      </c>
      <c r="C92" s="65" t="s">
        <v>29</v>
      </c>
      <c r="D92" s="65" t="s">
        <v>83</v>
      </c>
      <c r="E92" s="65" t="s">
        <v>19</v>
      </c>
      <c r="F92" s="65">
        <v>21.036000000000001</v>
      </c>
      <c r="G92" s="65" t="s">
        <v>29</v>
      </c>
      <c r="H92" s="65" t="s">
        <v>29</v>
      </c>
    </row>
    <row r="93" spans="1:13" ht="15.75" customHeight="1">
      <c r="A93" s="68" t="s">
        <v>1006</v>
      </c>
      <c r="B93" s="66" t="s">
        <v>1009</v>
      </c>
      <c r="C93" s="66" t="s">
        <v>45</v>
      </c>
      <c r="D93" s="66" t="s">
        <v>180</v>
      </c>
      <c r="E93" s="66" t="s">
        <v>17</v>
      </c>
      <c r="F93" s="66">
        <v>15.672000000000001</v>
      </c>
      <c r="G93" s="66">
        <v>0.63076551599999997</v>
      </c>
      <c r="H93" s="247">
        <v>-0.59499999999999997</v>
      </c>
      <c r="I93" s="72" t="s">
        <v>78</v>
      </c>
      <c r="J93" s="89" t="s">
        <v>1010</v>
      </c>
      <c r="K93" s="89" t="s">
        <v>1011</v>
      </c>
      <c r="L93" s="180">
        <v>44966</v>
      </c>
      <c r="M93" s="181" t="s">
        <v>24</v>
      </c>
    </row>
    <row r="94" spans="1:13" ht="15.75" customHeight="1">
      <c r="A94" s="70" t="s">
        <v>29</v>
      </c>
      <c r="B94" s="65" t="s">
        <v>29</v>
      </c>
      <c r="C94" s="65" t="s">
        <v>45</v>
      </c>
      <c r="D94" s="65" t="s">
        <v>180</v>
      </c>
      <c r="E94" s="65" t="s">
        <v>19</v>
      </c>
      <c r="F94" s="65">
        <v>24.846</v>
      </c>
      <c r="G94" s="65" t="s">
        <v>29</v>
      </c>
      <c r="H94" s="65" t="s">
        <v>29</v>
      </c>
    </row>
    <row r="95" spans="1:13" ht="15.75" customHeight="1">
      <c r="A95" s="3" t="s">
        <v>1011</v>
      </c>
      <c r="B95" s="3" t="s">
        <v>1012</v>
      </c>
      <c r="C95" s="3" t="s">
        <v>45</v>
      </c>
      <c r="D95" s="3" t="s">
        <v>34</v>
      </c>
      <c r="E95" s="3" t="s">
        <v>17</v>
      </c>
      <c r="F95" s="3">
        <v>16.085000000000001</v>
      </c>
      <c r="G95" s="3">
        <f t="shared" ref="G95" si="12">F95/F96</f>
        <v>0.61325250676731868</v>
      </c>
      <c r="H95" s="308">
        <f t="shared" ref="H95" si="13">(G95-0.94)/0.52</f>
        <v>-0.62836056390900241</v>
      </c>
      <c r="I95" s="72" t="s">
        <v>232</v>
      </c>
    </row>
    <row r="96" spans="1:13" ht="15.75" customHeight="1">
      <c r="A96" s="7"/>
      <c r="B96" s="7"/>
      <c r="C96" s="7"/>
      <c r="D96" s="3" t="s">
        <v>34</v>
      </c>
      <c r="E96" s="3" t="s">
        <v>19</v>
      </c>
      <c r="F96" s="3">
        <v>26.228999999999999</v>
      </c>
      <c r="G96" s="3"/>
      <c r="H96" s="308"/>
    </row>
    <row r="101" spans="1:13" s="122" customFormat="1" ht="15.75" customHeight="1">
      <c r="A101" s="126"/>
      <c r="B101" s="126"/>
      <c r="C101" s="126"/>
      <c r="D101" s="126"/>
      <c r="E101" s="126"/>
      <c r="F101" s="126"/>
      <c r="G101" s="126"/>
      <c r="H101" s="126"/>
      <c r="I101" s="126"/>
    </row>
    <row r="102" spans="1:13" ht="15.75" customHeight="1">
      <c r="A102" s="3" t="s">
        <v>1013</v>
      </c>
      <c r="B102" s="3" t="s">
        <v>1014</v>
      </c>
      <c r="C102" s="3" t="s">
        <v>38</v>
      </c>
      <c r="D102" s="3" t="s">
        <v>173</v>
      </c>
      <c r="E102" s="3" t="s">
        <v>17</v>
      </c>
      <c r="F102" s="3">
        <v>17.596</v>
      </c>
      <c r="G102" s="3">
        <f t="shared" ref="G102:G104" si="14">F102/F103</f>
        <v>0.73270872371434514</v>
      </c>
      <c r="H102" s="308">
        <f t="shared" ref="H102:H104" si="15">(G102-0.94)/0.52</f>
        <v>-0.39863706978010538</v>
      </c>
      <c r="I102" s="72" t="s">
        <v>64</v>
      </c>
    </row>
    <row r="103" spans="1:13" ht="15.75" customHeight="1">
      <c r="A103" s="3"/>
      <c r="B103" s="3"/>
      <c r="C103" s="3"/>
      <c r="D103" s="3" t="s">
        <v>173</v>
      </c>
      <c r="E103" s="3" t="s">
        <v>19</v>
      </c>
      <c r="F103" s="3">
        <v>24.015000000000001</v>
      </c>
      <c r="G103" s="3"/>
      <c r="H103" s="308"/>
    </row>
    <row r="104" spans="1:13" ht="15.75" customHeight="1">
      <c r="A104" s="3" t="s">
        <v>1013</v>
      </c>
      <c r="B104" s="3" t="s">
        <v>1015</v>
      </c>
      <c r="C104" s="3" t="s">
        <v>21</v>
      </c>
      <c r="D104" s="3" t="s">
        <v>39</v>
      </c>
      <c r="E104" s="3" t="s">
        <v>17</v>
      </c>
      <c r="F104" s="3">
        <v>17.541</v>
      </c>
      <c r="G104" s="3">
        <f t="shared" si="14"/>
        <v>0.82232431672214157</v>
      </c>
      <c r="H104" s="308">
        <f t="shared" si="15"/>
        <v>-0.2262993909189584</v>
      </c>
      <c r="I104" s="72" t="s">
        <v>64</v>
      </c>
      <c r="J104" s="165" t="s">
        <v>1016</v>
      </c>
      <c r="K104" s="165" t="s">
        <v>1013</v>
      </c>
      <c r="L104" s="165">
        <v>44950</v>
      </c>
      <c r="M104" s="181" t="s">
        <v>24</v>
      </c>
    </row>
    <row r="105" spans="1:13" ht="15.75" customHeight="1">
      <c r="A105" s="3"/>
      <c r="B105" s="3"/>
      <c r="C105" s="3"/>
      <c r="D105" s="3" t="s">
        <v>39</v>
      </c>
      <c r="E105" s="3" t="s">
        <v>19</v>
      </c>
      <c r="F105" s="3">
        <v>21.331</v>
      </c>
      <c r="G105" s="3"/>
      <c r="H105" s="308"/>
    </row>
    <row r="109" spans="1:13" ht="15.75" customHeight="1">
      <c r="A109" s="3" t="s">
        <v>1017</v>
      </c>
      <c r="B109" s="3" t="s">
        <v>1014</v>
      </c>
      <c r="C109" s="3" t="s">
        <v>38</v>
      </c>
      <c r="D109" s="3" t="s">
        <v>42</v>
      </c>
      <c r="E109" s="3" t="s">
        <v>17</v>
      </c>
      <c r="F109" s="3">
        <v>17.888999999999999</v>
      </c>
      <c r="G109" s="3">
        <f t="shared" ref="G109:G115" si="16">F109/F110</f>
        <v>0.7665509705617688</v>
      </c>
      <c r="H109" s="308">
        <f t="shared" ref="H109:H115" si="17">(G109-0.94)/0.52</f>
        <v>-0.33355582584275217</v>
      </c>
      <c r="I109" s="72" t="s">
        <v>64</v>
      </c>
    </row>
    <row r="110" spans="1:13" ht="15.75" customHeight="1">
      <c r="A110" s="3"/>
      <c r="B110" s="3"/>
      <c r="C110" s="3"/>
      <c r="D110" s="3" t="s">
        <v>42</v>
      </c>
      <c r="E110" s="3" t="s">
        <v>19</v>
      </c>
      <c r="F110" s="3">
        <v>23.337</v>
      </c>
      <c r="G110" s="3"/>
      <c r="H110" s="308"/>
    </row>
    <row r="111" spans="1:13" ht="15.75" customHeight="1">
      <c r="A111" s="3" t="s">
        <v>1017</v>
      </c>
      <c r="B111" s="3" t="s">
        <v>1018</v>
      </c>
      <c r="C111" s="3" t="s">
        <v>45</v>
      </c>
      <c r="D111" s="3" t="s">
        <v>16</v>
      </c>
      <c r="E111" s="3" t="s">
        <v>17</v>
      </c>
      <c r="F111" s="3">
        <v>16.510999999999999</v>
      </c>
      <c r="G111" s="3">
        <f t="shared" si="16"/>
        <v>0.57425570395102954</v>
      </c>
      <c r="H111" s="308">
        <f t="shared" si="17"/>
        <v>-0.70335441547878919</v>
      </c>
      <c r="I111" s="72" t="s">
        <v>64</v>
      </c>
      <c r="J111" s="165" t="s">
        <v>1016</v>
      </c>
      <c r="K111" s="165" t="s">
        <v>1017</v>
      </c>
      <c r="L111" s="165">
        <v>44980</v>
      </c>
      <c r="M111" s="181" t="s">
        <v>24</v>
      </c>
    </row>
    <row r="112" spans="1:13" ht="15.75" customHeight="1">
      <c r="A112" s="3"/>
      <c r="B112" s="3"/>
      <c r="C112" s="3"/>
      <c r="D112" s="3" t="s">
        <v>16</v>
      </c>
      <c r="E112" s="3" t="s">
        <v>19</v>
      </c>
      <c r="F112" s="3">
        <v>28.751999999999999</v>
      </c>
      <c r="G112" s="3"/>
      <c r="H112" s="308"/>
    </row>
    <row r="113" spans="1:13" ht="15.75" customHeight="1">
      <c r="A113" s="3" t="s">
        <v>1017</v>
      </c>
      <c r="B113" s="3" t="s">
        <v>1015</v>
      </c>
      <c r="C113" s="3" t="s">
        <v>21</v>
      </c>
      <c r="D113" s="3" t="s">
        <v>22</v>
      </c>
      <c r="E113" s="3" t="s">
        <v>17</v>
      </c>
      <c r="F113" s="3">
        <v>17.178999999999998</v>
      </c>
      <c r="G113" s="3">
        <f t="shared" si="16"/>
        <v>0.51277535669512264</v>
      </c>
      <c r="H113" s="308">
        <f t="shared" si="17"/>
        <v>-0.82158585250937943</v>
      </c>
      <c r="I113" s="72" t="s">
        <v>64</v>
      </c>
    </row>
    <row r="114" spans="1:13" ht="15.75" customHeight="1">
      <c r="A114" s="3"/>
      <c r="B114" s="3"/>
      <c r="C114" s="3"/>
      <c r="D114" s="3" t="s">
        <v>22</v>
      </c>
      <c r="E114" s="3" t="s">
        <v>19</v>
      </c>
      <c r="F114" s="3">
        <v>33.502000000000002</v>
      </c>
      <c r="G114" s="3"/>
      <c r="H114" s="308"/>
    </row>
    <row r="115" spans="1:13" ht="15.75" customHeight="1">
      <c r="A115" s="3" t="s">
        <v>1017</v>
      </c>
      <c r="B115" s="3" t="s">
        <v>1019</v>
      </c>
      <c r="C115" s="3" t="s">
        <v>45</v>
      </c>
      <c r="D115" s="3" t="s">
        <v>335</v>
      </c>
      <c r="E115" s="3" t="s">
        <v>17</v>
      </c>
      <c r="F115" s="3">
        <v>17.225999999999999</v>
      </c>
      <c r="G115" s="3">
        <f t="shared" si="16"/>
        <v>0.50306640967233218</v>
      </c>
      <c r="H115" s="308">
        <f t="shared" si="17"/>
        <v>-0.84025690447628409</v>
      </c>
      <c r="I115" s="72" t="s">
        <v>64</v>
      </c>
    </row>
    <row r="116" spans="1:13" ht="15.75" customHeight="1">
      <c r="A116" s="3"/>
      <c r="B116" s="3"/>
      <c r="C116" s="3"/>
      <c r="D116" s="3" t="s">
        <v>335</v>
      </c>
      <c r="E116" s="3" t="s">
        <v>19</v>
      </c>
      <c r="F116" s="3">
        <v>34.241999999999997</v>
      </c>
      <c r="G116" s="3"/>
      <c r="H116" s="308"/>
    </row>
    <row r="117" spans="1:13" s="313" customFormat="1" ht="15.75" customHeight="1">
      <c r="A117" s="3" t="s">
        <v>1017</v>
      </c>
      <c r="B117" s="3" t="s">
        <v>1020</v>
      </c>
      <c r="C117" s="3" t="s">
        <v>45</v>
      </c>
      <c r="D117" s="3" t="s">
        <v>55</v>
      </c>
      <c r="E117" s="3" t="s">
        <v>17</v>
      </c>
      <c r="F117" s="3">
        <v>19.466999999999999</v>
      </c>
      <c r="G117" s="3">
        <f t="shared" ref="G117" si="18">F117/F118</f>
        <v>0.58364813815434424</v>
      </c>
      <c r="H117" s="308">
        <f t="shared" ref="H117" si="19">(G117-0.94)/0.52</f>
        <v>-0.68529204201087635</v>
      </c>
      <c r="I117" s="321" t="s">
        <v>232</v>
      </c>
    </row>
    <row r="118" spans="1:13" s="313" customFormat="1" ht="15.75" customHeight="1">
      <c r="A118" s="7"/>
      <c r="B118" s="7"/>
      <c r="C118" s="7"/>
      <c r="D118" s="3" t="s">
        <v>55</v>
      </c>
      <c r="E118" s="3" t="s">
        <v>19</v>
      </c>
      <c r="F118" s="3">
        <v>33.353999999999999</v>
      </c>
      <c r="G118" s="3"/>
      <c r="H118" s="308"/>
      <c r="I118" s="312"/>
    </row>
    <row r="119" spans="1:13" ht="15.75" customHeight="1">
      <c r="A119" s="68" t="s">
        <v>1017</v>
      </c>
      <c r="B119" s="66" t="s">
        <v>1021</v>
      </c>
      <c r="C119" s="66" t="s">
        <v>45</v>
      </c>
      <c r="D119" s="66" t="s">
        <v>49</v>
      </c>
      <c r="E119" s="66" t="s">
        <v>17</v>
      </c>
      <c r="F119" s="66">
        <v>17.734000000000002</v>
      </c>
      <c r="G119" s="66">
        <v>0.53476871100000001</v>
      </c>
      <c r="H119" s="339">
        <v>-0.77900000000000003</v>
      </c>
      <c r="I119" s="72" t="s">
        <v>147</v>
      </c>
    </row>
    <row r="120" spans="1:13" ht="15.75" customHeight="1">
      <c r="A120" s="70" t="s">
        <v>29</v>
      </c>
      <c r="B120" s="65" t="s">
        <v>29</v>
      </c>
      <c r="C120" s="65" t="s">
        <v>29</v>
      </c>
      <c r="D120" s="65" t="s">
        <v>49</v>
      </c>
      <c r="E120" s="65" t="s">
        <v>19</v>
      </c>
      <c r="F120" s="65">
        <v>33.161999999999999</v>
      </c>
      <c r="G120" s="65" t="s">
        <v>29</v>
      </c>
      <c r="H120" s="65" t="s">
        <v>29</v>
      </c>
    </row>
    <row r="121" spans="1:13" s="122" customFormat="1" ht="15.75" customHeight="1">
      <c r="A121" s="126"/>
      <c r="B121" s="126"/>
      <c r="C121" s="126"/>
      <c r="D121" s="126"/>
      <c r="E121" s="126"/>
      <c r="F121" s="126"/>
      <c r="G121" s="126"/>
      <c r="H121" s="126"/>
      <c r="I121" s="126"/>
    </row>
    <row r="122" spans="1:13" ht="15.75" customHeight="1">
      <c r="A122" s="3" t="s">
        <v>1022</v>
      </c>
      <c r="B122" s="3" t="s">
        <v>991</v>
      </c>
      <c r="C122" s="3" t="s">
        <v>38</v>
      </c>
      <c r="D122" s="3" t="s">
        <v>68</v>
      </c>
      <c r="E122" s="3" t="s">
        <v>17</v>
      </c>
      <c r="F122" s="3">
        <v>17.548999999999999</v>
      </c>
      <c r="G122" s="3">
        <f>F122/F123</f>
        <v>0.83766109785202869</v>
      </c>
      <c r="H122" s="308">
        <f>(G122-0.94)/0.52</f>
        <v>-0.19680558105379087</v>
      </c>
      <c r="I122" s="72" t="s">
        <v>101</v>
      </c>
    </row>
    <row r="123" spans="1:13" ht="15.75" customHeight="1">
      <c r="A123" s="3"/>
      <c r="B123" s="3"/>
      <c r="C123" s="3"/>
      <c r="D123" s="3" t="s">
        <v>68</v>
      </c>
      <c r="E123" s="3" t="s">
        <v>19</v>
      </c>
      <c r="F123" s="3">
        <v>20.95</v>
      </c>
      <c r="G123" s="3"/>
      <c r="H123" s="308"/>
    </row>
    <row r="124" spans="1:13" ht="15.75" customHeight="1">
      <c r="A124" s="3" t="s">
        <v>1022</v>
      </c>
      <c r="B124" s="3" t="s">
        <v>992</v>
      </c>
      <c r="C124" s="3" t="s">
        <v>21</v>
      </c>
      <c r="D124" s="3" t="s">
        <v>71</v>
      </c>
      <c r="E124" s="3" t="s">
        <v>17</v>
      </c>
      <c r="F124" s="3">
        <v>17.966000000000001</v>
      </c>
      <c r="G124" s="3">
        <f t="shared" ref="G124" si="20">F124/F125</f>
        <v>0.58454530665365223</v>
      </c>
      <c r="H124" s="308">
        <f t="shared" ref="H124:H126" si="21">(G124-0.94)/0.52</f>
        <v>-0.68356671797374557</v>
      </c>
      <c r="I124" s="72" t="s">
        <v>101</v>
      </c>
      <c r="J124" s="165" t="s">
        <v>997</v>
      </c>
      <c r="K124" s="165" t="s">
        <v>1022</v>
      </c>
      <c r="L124" s="165">
        <v>45020</v>
      </c>
      <c r="M124" s="181" t="s">
        <v>24</v>
      </c>
    </row>
    <row r="125" spans="1:13" ht="15.75" customHeight="1">
      <c r="A125" s="3"/>
      <c r="B125" s="3"/>
      <c r="C125" s="3"/>
      <c r="D125" s="3" t="s">
        <v>71</v>
      </c>
      <c r="E125" s="3" t="s">
        <v>19</v>
      </c>
      <c r="F125" s="3">
        <v>30.734999999999999</v>
      </c>
      <c r="G125" s="3"/>
      <c r="H125" s="308"/>
    </row>
    <row r="126" spans="1:13" ht="15.75" customHeight="1">
      <c r="A126" s="3" t="s">
        <v>1022</v>
      </c>
      <c r="B126" s="3" t="s">
        <v>994</v>
      </c>
      <c r="C126" s="3" t="s">
        <v>45</v>
      </c>
      <c r="D126" s="3" t="s">
        <v>74</v>
      </c>
      <c r="E126" s="3" t="s">
        <v>17</v>
      </c>
      <c r="F126" s="3">
        <v>17.530999999999999</v>
      </c>
      <c r="G126" s="3">
        <f t="shared" ref="G126" si="22">F126/F127</f>
        <v>0.56495117785440363</v>
      </c>
      <c r="H126" s="308">
        <f t="shared" si="21"/>
        <v>-0.72124773489537752</v>
      </c>
      <c r="I126" s="72" t="s">
        <v>101</v>
      </c>
    </row>
    <row r="127" spans="1:13" ht="15.75" customHeight="1">
      <c r="A127" s="3"/>
      <c r="B127" s="3"/>
      <c r="C127" s="3"/>
      <c r="D127" s="3" t="s">
        <v>74</v>
      </c>
      <c r="E127" s="3" t="s">
        <v>19</v>
      </c>
      <c r="F127" s="3">
        <v>31.030999999999999</v>
      </c>
      <c r="G127" s="3"/>
      <c r="H127" s="308"/>
    </row>
    <row r="128" spans="1:13" ht="15.75" customHeight="1">
      <c r="A128" s="3" t="s">
        <v>1022</v>
      </c>
      <c r="B128" s="3" t="s">
        <v>1023</v>
      </c>
      <c r="C128" s="3" t="s">
        <v>45</v>
      </c>
      <c r="D128" s="3" t="s">
        <v>52</v>
      </c>
      <c r="E128" s="3" t="s">
        <v>17</v>
      </c>
      <c r="F128" s="3">
        <v>26.913</v>
      </c>
      <c r="G128" s="3">
        <f t="shared" ref="G128" si="23">F128/F129</f>
        <v>0.74694013488385003</v>
      </c>
      <c r="H128" s="308">
        <f t="shared" ref="H128" si="24">(G128-0.94)/0.52</f>
        <v>-0.37126897137721138</v>
      </c>
      <c r="I128" s="72" t="s">
        <v>232</v>
      </c>
    </row>
    <row r="129" spans="1:13" ht="15.75" customHeight="1">
      <c r="A129" s="7"/>
      <c r="B129" s="7"/>
      <c r="C129" s="7"/>
      <c r="D129" s="3" t="s">
        <v>52</v>
      </c>
      <c r="E129" s="3" t="s">
        <v>19</v>
      </c>
      <c r="F129" s="3">
        <v>36.030999999999999</v>
      </c>
      <c r="G129" s="3"/>
      <c r="H129" s="308"/>
    </row>
    <row r="134" spans="1:13" s="122" customFormat="1" ht="15.75" customHeight="1">
      <c r="A134" s="126"/>
      <c r="B134" s="126"/>
      <c r="C134" s="126"/>
      <c r="D134" s="126"/>
      <c r="E134" s="126"/>
      <c r="F134" s="126"/>
      <c r="G134" s="126"/>
      <c r="H134" s="126"/>
      <c r="I134" s="126"/>
    </row>
    <row r="135" spans="1:13" ht="15.75" customHeight="1">
      <c r="A135" s="3" t="s">
        <v>1024</v>
      </c>
      <c r="B135" s="3" t="s">
        <v>1025</v>
      </c>
      <c r="C135" s="3" t="s">
        <v>38</v>
      </c>
      <c r="D135" s="3" t="s">
        <v>81</v>
      </c>
      <c r="E135" s="3" t="s">
        <v>17</v>
      </c>
      <c r="F135" s="3">
        <v>16.315999999999999</v>
      </c>
      <c r="G135" s="3">
        <f t="shared" ref="G135" si="25">F135/F136</f>
        <v>0.66986903148992072</v>
      </c>
      <c r="H135" s="308">
        <f t="shared" ref="H135:H141" si="26">(G135-0.94)/0.52</f>
        <v>-0.5194826317501523</v>
      </c>
      <c r="I135" s="72" t="s">
        <v>101</v>
      </c>
    </row>
    <row r="136" spans="1:13" ht="15.75" customHeight="1">
      <c r="A136" s="3"/>
      <c r="B136" s="3"/>
      <c r="C136" s="3"/>
      <c r="D136" s="3" t="s">
        <v>81</v>
      </c>
      <c r="E136" s="3" t="s">
        <v>19</v>
      </c>
      <c r="F136" s="3">
        <v>24.356999999999999</v>
      </c>
      <c r="G136" s="3"/>
      <c r="H136" s="308"/>
    </row>
    <row r="137" spans="1:13" ht="15.75" customHeight="1">
      <c r="A137" s="3" t="s">
        <v>1024</v>
      </c>
      <c r="B137" s="3" t="s">
        <v>1026</v>
      </c>
      <c r="C137" s="3" t="s">
        <v>45</v>
      </c>
      <c r="D137" s="3" t="s">
        <v>83</v>
      </c>
      <c r="E137" s="3" t="s">
        <v>17</v>
      </c>
      <c r="F137" s="3">
        <v>15.976000000000001</v>
      </c>
      <c r="G137" s="3">
        <f t="shared" ref="G137" si="27">F137/F138</f>
        <v>0.53078175354662949</v>
      </c>
      <c r="H137" s="308">
        <f t="shared" si="26"/>
        <v>-0.78695816625648163</v>
      </c>
      <c r="I137" s="72" t="s">
        <v>101</v>
      </c>
    </row>
    <row r="138" spans="1:13" ht="15.75" customHeight="1">
      <c r="A138" s="3"/>
      <c r="B138" s="3"/>
      <c r="C138" s="3"/>
      <c r="D138" s="3" t="s">
        <v>83</v>
      </c>
      <c r="E138" s="3" t="s">
        <v>19</v>
      </c>
      <c r="F138" s="3">
        <v>30.099</v>
      </c>
      <c r="G138" s="3"/>
      <c r="H138" s="308"/>
    </row>
    <row r="139" spans="1:13" ht="15.75" customHeight="1">
      <c r="A139" s="3" t="s">
        <v>1024</v>
      </c>
      <c r="B139" s="3" t="s">
        <v>1027</v>
      </c>
      <c r="C139" s="3" t="s">
        <v>21</v>
      </c>
      <c r="D139" s="3" t="s">
        <v>27</v>
      </c>
      <c r="E139" s="3" t="s">
        <v>17</v>
      </c>
      <c r="F139" s="3">
        <v>19.164999999999999</v>
      </c>
      <c r="G139" s="3">
        <f t="shared" ref="G139" si="28">F139/F140</f>
        <v>0.59360094158458765</v>
      </c>
      <c r="H139" s="308">
        <f t="shared" si="26"/>
        <v>-0.66615203541425438</v>
      </c>
      <c r="I139" s="72" t="s">
        <v>101</v>
      </c>
      <c r="J139" s="165" t="s">
        <v>1028</v>
      </c>
      <c r="K139" s="165" t="s">
        <v>1024</v>
      </c>
      <c r="L139" s="165">
        <v>45020</v>
      </c>
      <c r="M139" s="181" t="s">
        <v>24</v>
      </c>
    </row>
    <row r="140" spans="1:13" ht="15.75" customHeight="1">
      <c r="A140" s="3"/>
      <c r="B140" s="3"/>
      <c r="C140" s="3"/>
      <c r="D140" s="3" t="s">
        <v>27</v>
      </c>
      <c r="E140" s="3" t="s">
        <v>19</v>
      </c>
      <c r="F140" s="3">
        <v>32.286000000000001</v>
      </c>
      <c r="G140" s="3"/>
      <c r="H140" s="308"/>
    </row>
    <row r="141" spans="1:13" ht="15.75" customHeight="1">
      <c r="A141" s="3" t="s">
        <v>1024</v>
      </c>
      <c r="B141" s="3" t="s">
        <v>1029</v>
      </c>
      <c r="C141" s="3" t="s">
        <v>45</v>
      </c>
      <c r="D141" s="3" t="s">
        <v>31</v>
      </c>
      <c r="E141" s="3" t="s">
        <v>17</v>
      </c>
      <c r="F141" s="3">
        <v>16.574999999999999</v>
      </c>
      <c r="G141" s="3">
        <f t="shared" ref="G141" si="29">F141/F142</f>
        <v>0.49667385832434374</v>
      </c>
      <c r="H141" s="308">
        <f t="shared" si="26"/>
        <v>-0.85255027245318493</v>
      </c>
      <c r="I141" s="72" t="s">
        <v>101</v>
      </c>
    </row>
    <row r="142" spans="1:13" ht="15.75" customHeight="1">
      <c r="A142" s="3"/>
      <c r="B142" s="3"/>
      <c r="C142" s="3"/>
      <c r="D142" s="3" t="s">
        <v>31</v>
      </c>
      <c r="E142" s="3" t="s">
        <v>19</v>
      </c>
      <c r="F142" s="3">
        <v>33.372</v>
      </c>
      <c r="G142" s="3"/>
      <c r="H142" s="308"/>
    </row>
    <row r="143" spans="1:13" ht="15.75" customHeight="1">
      <c r="A143" s="3" t="s">
        <v>1024</v>
      </c>
      <c r="B143" s="3" t="s">
        <v>1030</v>
      </c>
      <c r="C143" s="3" t="s">
        <v>45</v>
      </c>
      <c r="D143" s="3" t="s">
        <v>49</v>
      </c>
      <c r="E143" s="3" t="s">
        <v>17</v>
      </c>
      <c r="F143" s="3">
        <v>23.646000000000001</v>
      </c>
      <c r="G143" s="3">
        <f t="shared" ref="G143" si="30">F143/F144</f>
        <v>0.65568588303801678</v>
      </c>
      <c r="H143" s="308">
        <f t="shared" ref="H143" si="31">(G143-0.94)/0.52</f>
        <v>-0.546757917234583</v>
      </c>
      <c r="I143" s="72" t="s">
        <v>232</v>
      </c>
    </row>
    <row r="144" spans="1:13" ht="15.75" customHeight="1">
      <c r="A144" s="7"/>
      <c r="B144" s="7"/>
      <c r="C144" s="7"/>
      <c r="D144" s="3" t="s">
        <v>49</v>
      </c>
      <c r="E144" s="3" t="s">
        <v>19</v>
      </c>
      <c r="F144" s="3">
        <v>36.063000000000002</v>
      </c>
      <c r="G144" s="3"/>
      <c r="H144" s="308"/>
    </row>
    <row r="146" spans="1:9" ht="15.75" customHeight="1">
      <c r="A146" s="3" t="s">
        <v>1031</v>
      </c>
      <c r="B146" s="3" t="s">
        <v>1025</v>
      </c>
      <c r="C146" s="3" t="s">
        <v>15</v>
      </c>
      <c r="D146" s="3" t="s">
        <v>68</v>
      </c>
      <c r="E146" s="3" t="s">
        <v>17</v>
      </c>
      <c r="F146" s="3">
        <v>17.670000000000002</v>
      </c>
      <c r="G146" s="3">
        <f>F146/F147</f>
        <v>0.74315514993481102</v>
      </c>
      <c r="H146" s="308">
        <f>(G146-0.94)/0.52</f>
        <v>-0.37854778858690175</v>
      </c>
      <c r="I146" s="72" t="s">
        <v>120</v>
      </c>
    </row>
    <row r="147" spans="1:9" ht="15.75" customHeight="1">
      <c r="A147" s="3"/>
      <c r="B147" s="3"/>
      <c r="C147" s="3"/>
      <c r="D147" s="3" t="s">
        <v>68</v>
      </c>
      <c r="E147" s="3" t="s">
        <v>19</v>
      </c>
      <c r="F147" s="3">
        <v>23.777000000000001</v>
      </c>
      <c r="G147" s="3"/>
      <c r="H147" s="308"/>
    </row>
    <row r="148" spans="1:9" ht="15.75" customHeight="1">
      <c r="A148" s="3" t="s">
        <v>1031</v>
      </c>
      <c r="B148" s="3" t="s">
        <v>1026</v>
      </c>
      <c r="C148" s="3" t="s">
        <v>45</v>
      </c>
      <c r="D148" s="3" t="s">
        <v>71</v>
      </c>
      <c r="E148" s="3" t="s">
        <v>17</v>
      </c>
      <c r="F148" s="3">
        <v>16.396000000000001</v>
      </c>
      <c r="G148" s="3">
        <f t="shared" ref="G148" si="32">F148/F149</f>
        <v>0.50893965731313628</v>
      </c>
      <c r="H148" s="308">
        <f t="shared" ref="H148" si="33">(G148-0.94)/0.52</f>
        <v>-0.82896219747473776</v>
      </c>
      <c r="I148" s="72" t="s">
        <v>120</v>
      </c>
    </row>
    <row r="149" spans="1:9" ht="15.75" customHeight="1">
      <c r="A149" s="3"/>
      <c r="B149" s="3"/>
      <c r="C149" s="3"/>
      <c r="D149" s="3" t="s">
        <v>71</v>
      </c>
      <c r="E149" s="3" t="s">
        <v>19</v>
      </c>
      <c r="F149" s="3">
        <v>32.216000000000001</v>
      </c>
      <c r="G149" s="3"/>
      <c r="H149" s="308"/>
    </row>
    <row r="150" spans="1:9" ht="15.75" customHeight="1">
      <c r="A150" s="3" t="s">
        <v>1031</v>
      </c>
      <c r="B150" s="3" t="s">
        <v>1027</v>
      </c>
      <c r="C150" s="3" t="s">
        <v>21</v>
      </c>
      <c r="D150" s="3" t="s">
        <v>74</v>
      </c>
      <c r="E150" s="3" t="s">
        <v>17</v>
      </c>
      <c r="F150" s="3">
        <v>20.553999999999998</v>
      </c>
      <c r="G150" s="3">
        <f t="shared" ref="G150" si="34">F150/F151</f>
        <v>0.66243393064328993</v>
      </c>
      <c r="H150" s="308">
        <f t="shared" ref="H150" si="35">(G150-0.94)/0.52</f>
        <v>-0.53378090260905775</v>
      </c>
      <c r="I150" s="72" t="s">
        <v>120</v>
      </c>
    </row>
    <row r="151" spans="1:9" ht="15.75" customHeight="1">
      <c r="A151" s="3"/>
      <c r="B151" s="3"/>
      <c r="C151" s="3"/>
      <c r="D151" s="3" t="s">
        <v>74</v>
      </c>
      <c r="E151" s="3" t="s">
        <v>19</v>
      </c>
      <c r="F151" s="3">
        <v>31.027999999999999</v>
      </c>
      <c r="G151" s="3"/>
      <c r="H151" s="308"/>
    </row>
    <row r="152" spans="1:9" ht="15.75" customHeight="1">
      <c r="A152" s="3" t="s">
        <v>1031</v>
      </c>
      <c r="B152" s="3" t="s">
        <v>1029</v>
      </c>
      <c r="C152" s="3" t="s">
        <v>45</v>
      </c>
      <c r="D152" s="3" t="s">
        <v>81</v>
      </c>
      <c r="E152" s="3" t="s">
        <v>17</v>
      </c>
      <c r="F152" s="3">
        <v>18.03</v>
      </c>
      <c r="G152" s="3">
        <f t="shared" ref="G152" si="36">F152/F153</f>
        <v>0.57398446453584617</v>
      </c>
      <c r="H152" s="308">
        <f t="shared" ref="H152" si="37">(G152-0.94)/0.52</f>
        <v>-0.70387602973875718</v>
      </c>
      <c r="I152" s="72" t="s">
        <v>120</v>
      </c>
    </row>
    <row r="153" spans="1:9" ht="15.75" customHeight="1">
      <c r="A153" s="3"/>
      <c r="B153" s="3"/>
      <c r="C153" s="3"/>
      <c r="D153" s="3" t="s">
        <v>81</v>
      </c>
      <c r="E153" s="3" t="s">
        <v>19</v>
      </c>
      <c r="F153" s="3">
        <v>31.411999999999999</v>
      </c>
      <c r="G153" s="3"/>
      <c r="H153" s="308"/>
    </row>
    <row r="154" spans="1:9" ht="15.75" customHeight="1">
      <c r="A154" s="3" t="s">
        <v>1031</v>
      </c>
      <c r="B154" s="3" t="s">
        <v>1030</v>
      </c>
      <c r="C154" s="3" t="s">
        <v>45</v>
      </c>
      <c r="D154" s="3" t="s">
        <v>59</v>
      </c>
      <c r="E154" s="3" t="s">
        <v>17</v>
      </c>
      <c r="F154" s="3">
        <v>23.184999999999999</v>
      </c>
      <c r="G154" s="3">
        <f t="shared" ref="G154" si="38">F154/F155</f>
        <v>0.66969959560947434</v>
      </c>
      <c r="H154" s="308">
        <f t="shared" ref="H154" si="39">(G154-0.94)/0.52</f>
        <v>-0.51980846998177999</v>
      </c>
      <c r="I154" s="72" t="s">
        <v>232</v>
      </c>
    </row>
    <row r="155" spans="1:9" ht="15.75" customHeight="1">
      <c r="A155" s="7"/>
      <c r="B155" s="7"/>
      <c r="C155" s="7"/>
      <c r="D155" s="3" t="s">
        <v>59</v>
      </c>
      <c r="E155" s="3" t="s">
        <v>19</v>
      </c>
      <c r="F155" s="3">
        <v>34.619999999999997</v>
      </c>
      <c r="G155" s="3"/>
      <c r="H155" s="308"/>
    </row>
    <row r="156" spans="1:9" s="122" customFormat="1" ht="15.75" customHeight="1">
      <c r="A156" s="126"/>
      <c r="B156" s="126"/>
      <c r="C156" s="126"/>
      <c r="D156" s="126"/>
      <c r="E156" s="126"/>
      <c r="F156" s="126"/>
      <c r="G156" s="126"/>
      <c r="H156" s="126"/>
      <c r="I156" s="126"/>
    </row>
    <row r="157" spans="1:9" ht="15.75" customHeight="1">
      <c r="A157" s="3" t="s">
        <v>1032</v>
      </c>
      <c r="B157" s="326" t="s">
        <v>1033</v>
      </c>
      <c r="C157" s="3" t="s">
        <v>15</v>
      </c>
      <c r="D157" s="3" t="s">
        <v>83</v>
      </c>
      <c r="E157" s="3" t="s">
        <v>17</v>
      </c>
      <c r="F157" s="3">
        <v>17.408999999999999</v>
      </c>
      <c r="G157" s="3">
        <f t="shared" ref="G157" si="40">F157/F158</f>
        <v>0.77085547290116896</v>
      </c>
      <c r="H157" s="308">
        <f t="shared" ref="H157" si="41">(G157-0.94)/0.52</f>
        <v>-0.32527793672852112</v>
      </c>
      <c r="I157" s="72" t="s">
        <v>120</v>
      </c>
    </row>
    <row r="158" spans="1:9" ht="15.75" customHeight="1">
      <c r="A158" s="3"/>
      <c r="B158" s="3"/>
      <c r="C158" s="3"/>
      <c r="D158" s="3" t="s">
        <v>83</v>
      </c>
      <c r="E158" s="3" t="s">
        <v>19</v>
      </c>
      <c r="F158" s="3">
        <v>22.584</v>
      </c>
      <c r="G158" s="3"/>
      <c r="H158" s="308"/>
    </row>
    <row r="159" spans="1:9" ht="15.75" customHeight="1">
      <c r="A159" s="3" t="s">
        <v>1032</v>
      </c>
      <c r="B159" s="3" t="s">
        <v>1034</v>
      </c>
      <c r="C159" s="3" t="s">
        <v>45</v>
      </c>
      <c r="D159" s="3" t="s">
        <v>27</v>
      </c>
      <c r="E159" s="3" t="s">
        <v>17</v>
      </c>
      <c r="F159" s="3">
        <v>16.873999999999999</v>
      </c>
      <c r="G159" s="3">
        <f t="shared" ref="G159" si="42">F159/F160</f>
        <v>0.54828437743696379</v>
      </c>
      <c r="H159" s="308">
        <f t="shared" ref="H159" si="43">(G159-0.94)/0.52</f>
        <v>-0.7532992741596849</v>
      </c>
      <c r="I159" s="72" t="s">
        <v>120</v>
      </c>
    </row>
    <row r="160" spans="1:9" ht="15.75" customHeight="1">
      <c r="A160" s="3"/>
      <c r="B160" s="3"/>
      <c r="C160" s="3"/>
      <c r="D160" s="3" t="s">
        <v>27</v>
      </c>
      <c r="E160" s="3" t="s">
        <v>19</v>
      </c>
      <c r="F160" s="3">
        <v>30.776</v>
      </c>
      <c r="G160" s="3"/>
      <c r="H160" s="308"/>
    </row>
    <row r="161" spans="1:13" ht="15.75" customHeight="1">
      <c r="A161" s="3" t="s">
        <v>1032</v>
      </c>
      <c r="B161" s="3" t="s">
        <v>1035</v>
      </c>
      <c r="C161" s="3" t="s">
        <v>21</v>
      </c>
      <c r="D161" s="3" t="s">
        <v>31</v>
      </c>
      <c r="E161" s="3" t="s">
        <v>17</v>
      </c>
      <c r="F161" s="3">
        <v>16.617000000000001</v>
      </c>
      <c r="G161" s="3">
        <f t="shared" ref="G161" si="44">F161/F162</f>
        <v>0.50878750765462344</v>
      </c>
      <c r="H161" s="308">
        <f t="shared" ref="H161" si="45">(G161-0.94)/0.52</f>
        <v>-0.82925479297187787</v>
      </c>
      <c r="I161" s="72" t="s">
        <v>120</v>
      </c>
    </row>
    <row r="162" spans="1:13" ht="15.75" customHeight="1">
      <c r="A162" s="3"/>
      <c r="B162" s="3"/>
      <c r="C162" s="3"/>
      <c r="D162" s="3" t="s">
        <v>31</v>
      </c>
      <c r="E162" s="3" t="s">
        <v>19</v>
      </c>
      <c r="F162" s="3">
        <v>32.659999999999997</v>
      </c>
      <c r="G162" s="3"/>
      <c r="H162" s="308"/>
    </row>
    <row r="163" spans="1:13" ht="15.75" customHeight="1">
      <c r="A163" s="3" t="s">
        <v>1032</v>
      </c>
      <c r="B163" s="3" t="s">
        <v>1036</v>
      </c>
      <c r="C163" s="3" t="s">
        <v>21</v>
      </c>
      <c r="D163" s="3" t="s">
        <v>34</v>
      </c>
      <c r="E163" s="3" t="s">
        <v>17</v>
      </c>
      <c r="F163" s="3">
        <v>17.463000000000001</v>
      </c>
      <c r="G163" s="3">
        <f t="shared" ref="G163" si="46">F163/F164</f>
        <v>0.51886736391728072</v>
      </c>
      <c r="H163" s="308">
        <f t="shared" ref="H163" si="47">(G163-0.94)/0.52</f>
        <v>-0.80987045400522928</v>
      </c>
      <c r="I163" s="72" t="s">
        <v>120</v>
      </c>
      <c r="J163" s="165" t="s">
        <v>1037</v>
      </c>
      <c r="K163" s="165" t="s">
        <v>1032</v>
      </c>
      <c r="L163" s="165">
        <v>45056</v>
      </c>
      <c r="M163" s="181" t="s">
        <v>24</v>
      </c>
    </row>
    <row r="164" spans="1:13" ht="15.75" customHeight="1">
      <c r="A164" s="153"/>
      <c r="B164" s="153"/>
      <c r="C164" s="153"/>
      <c r="D164" s="153" t="s">
        <v>34</v>
      </c>
      <c r="E164" s="153" t="s">
        <v>19</v>
      </c>
      <c r="F164" s="153">
        <v>33.655999999999999</v>
      </c>
      <c r="G164" s="153"/>
      <c r="H164" s="327"/>
    </row>
    <row r="165" spans="1:13" ht="15.75" customHeight="1">
      <c r="A165" s="3" t="s">
        <v>1032</v>
      </c>
      <c r="B165" s="3" t="s">
        <v>1038</v>
      </c>
      <c r="C165" s="3" t="s">
        <v>45</v>
      </c>
      <c r="D165" s="3" t="s">
        <v>31</v>
      </c>
      <c r="E165" s="3" t="s">
        <v>17</v>
      </c>
      <c r="F165" s="3">
        <v>17.545999999999999</v>
      </c>
      <c r="G165" s="3">
        <f t="shared" ref="G165" si="48">F165/F166</f>
        <v>0.49720876193714753</v>
      </c>
      <c r="H165" s="308">
        <f t="shared" ref="H165" si="49">(G165-0.94)/0.52</f>
        <v>-0.8515216116593316</v>
      </c>
      <c r="I165" s="72" t="s">
        <v>232</v>
      </c>
    </row>
    <row r="166" spans="1:13" ht="15.75" customHeight="1">
      <c r="A166" s="7"/>
      <c r="B166" s="7"/>
      <c r="C166" s="7"/>
      <c r="D166" s="3" t="s">
        <v>31</v>
      </c>
      <c r="E166" s="3" t="s">
        <v>19</v>
      </c>
      <c r="F166" s="3">
        <v>35.289000000000001</v>
      </c>
      <c r="G166" s="3"/>
      <c r="H166" s="308"/>
    </row>
    <row r="167" spans="1:13" ht="15.75" customHeight="1">
      <c r="A167" s="68" t="s">
        <v>1032</v>
      </c>
      <c r="B167" s="66" t="s">
        <v>1039</v>
      </c>
      <c r="C167" s="66" t="s">
        <v>45</v>
      </c>
      <c r="D167" s="66" t="s">
        <v>52</v>
      </c>
      <c r="E167" s="66" t="s">
        <v>17</v>
      </c>
      <c r="F167" s="66">
        <v>17.728999999999999</v>
      </c>
      <c r="G167" s="66">
        <v>0.53625117200000005</v>
      </c>
      <c r="H167" s="339">
        <v>-0.77600000000000002</v>
      </c>
      <c r="I167" s="72" t="s">
        <v>147</v>
      </c>
    </row>
    <row r="168" spans="1:13" ht="15.75" customHeight="1">
      <c r="A168" s="70" t="s">
        <v>29</v>
      </c>
      <c r="B168" s="65" t="s">
        <v>29</v>
      </c>
      <c r="C168" s="65" t="s">
        <v>29</v>
      </c>
      <c r="D168" s="65" t="s">
        <v>52</v>
      </c>
      <c r="E168" s="65" t="s">
        <v>19</v>
      </c>
      <c r="F168" s="65">
        <v>33.061</v>
      </c>
      <c r="G168" s="65" t="s">
        <v>29</v>
      </c>
      <c r="H168" s="65" t="s">
        <v>29</v>
      </c>
    </row>
    <row r="174" spans="1:13" s="122" customFormat="1" ht="15.75" customHeight="1">
      <c r="A174" s="126"/>
      <c r="B174" s="126"/>
      <c r="C174" s="126"/>
      <c r="D174" s="126"/>
      <c r="E174" s="126"/>
      <c r="F174" s="126"/>
      <c r="G174" s="126"/>
      <c r="H174" s="126"/>
      <c r="I174" s="126"/>
    </row>
    <row r="175" spans="1:13" ht="15.75" customHeight="1">
      <c r="A175" s="3" t="s">
        <v>1040</v>
      </c>
      <c r="B175" s="3" t="s">
        <v>1041</v>
      </c>
      <c r="C175" s="3" t="s">
        <v>15</v>
      </c>
      <c r="D175" s="7" t="s">
        <v>108</v>
      </c>
      <c r="E175" s="7" t="s">
        <v>17</v>
      </c>
      <c r="F175" s="7">
        <v>15.756</v>
      </c>
      <c r="G175" s="3">
        <f t="shared" ref="G175" si="50">F175/F176</f>
        <v>0.68626682346792112</v>
      </c>
      <c r="H175" s="189">
        <f t="shared" ref="H175" si="51">(G175-0.94)/0.52</f>
        <v>-0.48794841640784387</v>
      </c>
      <c r="I175" s="72" t="s">
        <v>709</v>
      </c>
    </row>
    <row r="176" spans="1:13" ht="15.75" customHeight="1">
      <c r="A176" s="7"/>
      <c r="B176" s="7"/>
      <c r="C176" s="7"/>
      <c r="D176" s="7" t="s">
        <v>108</v>
      </c>
      <c r="E176" s="7" t="s">
        <v>19</v>
      </c>
      <c r="F176" s="7">
        <v>22.959</v>
      </c>
      <c r="G176" s="3"/>
      <c r="H176" s="189"/>
    </row>
    <row r="177" spans="1:13" ht="15.75" customHeight="1">
      <c r="A177" s="3" t="s">
        <v>1040</v>
      </c>
      <c r="B177" s="3" t="s">
        <v>1042</v>
      </c>
      <c r="C177" s="3" t="s">
        <v>45</v>
      </c>
      <c r="D177" s="7" t="s">
        <v>112</v>
      </c>
      <c r="E177" s="7" t="s">
        <v>17</v>
      </c>
      <c r="F177" s="7">
        <v>15.333</v>
      </c>
      <c r="G177" s="3">
        <f t="shared" ref="G177" si="52">F177/F178</f>
        <v>0.56348535518724052</v>
      </c>
      <c r="H177" s="189">
        <f t="shared" ref="H177" si="53">(G177-0.94)/0.52</f>
        <v>-0.724066624639922</v>
      </c>
      <c r="I177" s="72" t="s">
        <v>709</v>
      </c>
    </row>
    <row r="178" spans="1:13" ht="15.75" customHeight="1">
      <c r="A178" s="7"/>
      <c r="B178" s="7"/>
      <c r="C178" s="7"/>
      <c r="D178" s="7" t="s">
        <v>112</v>
      </c>
      <c r="E178" s="7" t="s">
        <v>19</v>
      </c>
      <c r="F178" s="7">
        <v>27.210999999999999</v>
      </c>
      <c r="G178" s="3"/>
      <c r="H178" s="189"/>
    </row>
    <row r="179" spans="1:13" ht="15.75" customHeight="1">
      <c r="A179" s="3" t="s">
        <v>1040</v>
      </c>
      <c r="B179" s="3" t="s">
        <v>1043</v>
      </c>
      <c r="C179" s="3" t="s">
        <v>21</v>
      </c>
      <c r="D179" s="7" t="s">
        <v>114</v>
      </c>
      <c r="E179" s="7" t="s">
        <v>17</v>
      </c>
      <c r="F179" s="7">
        <v>16.010000000000002</v>
      </c>
      <c r="G179" s="3">
        <f t="shared" ref="G179" si="54">F179/F180</f>
        <v>0.50180222535652719</v>
      </c>
      <c r="H179" s="189">
        <f t="shared" ref="H179" si="55">(G179-0.94)/0.52</f>
        <v>-0.84268802816052446</v>
      </c>
      <c r="I179" s="72" t="s">
        <v>709</v>
      </c>
    </row>
    <row r="180" spans="1:13" ht="15.75" customHeight="1">
      <c r="A180" s="7"/>
      <c r="B180" s="7"/>
      <c r="C180" s="7"/>
      <c r="D180" s="7" t="s">
        <v>114</v>
      </c>
      <c r="E180" s="7" t="s">
        <v>19</v>
      </c>
      <c r="F180" s="7">
        <v>31.905000000000001</v>
      </c>
      <c r="G180" s="3"/>
      <c r="H180" s="189"/>
    </row>
    <row r="181" spans="1:13" ht="15.75" customHeight="1">
      <c r="A181" s="3" t="s">
        <v>1040</v>
      </c>
      <c r="B181" s="3" t="s">
        <v>1044</v>
      </c>
      <c r="C181" s="3" t="s">
        <v>45</v>
      </c>
      <c r="D181" s="7" t="s">
        <v>117</v>
      </c>
      <c r="E181" s="7" t="s">
        <v>17</v>
      </c>
      <c r="F181" s="7">
        <v>15.981</v>
      </c>
      <c r="G181" s="3">
        <f t="shared" ref="G181" si="56">F181/F182</f>
        <v>0.4757524336875949</v>
      </c>
      <c r="H181" s="189">
        <f t="shared" ref="H181" si="57">(G181-0.94)/0.52</f>
        <v>-0.89278378137000969</v>
      </c>
      <c r="I181" s="72" t="s">
        <v>709</v>
      </c>
      <c r="J181" s="165" t="s">
        <v>1045</v>
      </c>
      <c r="K181" s="165" t="s">
        <v>1040</v>
      </c>
      <c r="L181" s="165">
        <v>45056</v>
      </c>
      <c r="M181" s="181" t="s">
        <v>24</v>
      </c>
    </row>
    <row r="182" spans="1:13" ht="15.75" customHeight="1">
      <c r="A182" s="7"/>
      <c r="B182" s="7"/>
      <c r="C182" s="7"/>
      <c r="D182" s="7" t="s">
        <v>117</v>
      </c>
      <c r="E182" s="7" t="s">
        <v>19</v>
      </c>
      <c r="F182" s="7">
        <v>33.591000000000001</v>
      </c>
      <c r="G182" s="3"/>
      <c r="H182" s="189"/>
    </row>
    <row r="189" spans="1:13" s="122" customFormat="1" ht="15.75" customHeight="1">
      <c r="A189" s="126"/>
      <c r="B189" s="126"/>
      <c r="C189" s="126"/>
      <c r="D189" s="126"/>
      <c r="E189" s="126"/>
      <c r="F189" s="126"/>
      <c r="G189" s="126"/>
      <c r="H189" s="126"/>
      <c r="I189" s="126"/>
    </row>
    <row r="190" spans="1:13" ht="15.75" customHeight="1">
      <c r="A190" s="3" t="s">
        <v>1046</v>
      </c>
      <c r="B190" s="3" t="s">
        <v>1025</v>
      </c>
      <c r="C190" s="3" t="s">
        <v>15</v>
      </c>
      <c r="D190" s="7" t="s">
        <v>299</v>
      </c>
      <c r="E190" s="7" t="s">
        <v>17</v>
      </c>
      <c r="F190" s="7">
        <v>15.68</v>
      </c>
      <c r="G190" s="3">
        <f t="shared" ref="G190" si="58">F190/F191</f>
        <v>0.66994232001709031</v>
      </c>
      <c r="H190" s="189">
        <f t="shared" ref="H190" si="59">(G190-0.94)/0.52</f>
        <v>-0.51934169227482618</v>
      </c>
      <c r="I190" s="72" t="s">
        <v>709</v>
      </c>
    </row>
    <row r="191" spans="1:13" ht="15.75" customHeight="1">
      <c r="A191" s="7"/>
      <c r="B191" s="7"/>
      <c r="C191" s="7"/>
      <c r="D191" s="7" t="s">
        <v>299</v>
      </c>
      <c r="E191" s="7" t="s">
        <v>19</v>
      </c>
      <c r="F191" s="7">
        <v>23.405000000000001</v>
      </c>
      <c r="G191" s="3"/>
      <c r="H191" s="189"/>
    </row>
    <row r="192" spans="1:13" ht="15.75" customHeight="1">
      <c r="A192" s="3" t="s">
        <v>1046</v>
      </c>
      <c r="B192" s="3" t="s">
        <v>1026</v>
      </c>
      <c r="C192" s="3" t="s">
        <v>45</v>
      </c>
      <c r="D192" s="7" t="s">
        <v>303</v>
      </c>
      <c r="E192" s="7" t="s">
        <v>17</v>
      </c>
      <c r="F192" s="7">
        <v>15.173</v>
      </c>
      <c r="G192" s="3">
        <f t="shared" ref="G192" si="60">F192/F193</f>
        <v>0.50029675547348984</v>
      </c>
      <c r="H192" s="189">
        <f t="shared" ref="H192" si="61">(G192-0.94)/0.52</f>
        <v>-0.84558316255098098</v>
      </c>
      <c r="I192" s="72" t="s">
        <v>709</v>
      </c>
    </row>
    <row r="193" spans="1:9" ht="15.75" customHeight="1">
      <c r="A193" s="7"/>
      <c r="B193" s="7"/>
      <c r="C193" s="7"/>
      <c r="D193" s="7" t="s">
        <v>303</v>
      </c>
      <c r="E193" s="7" t="s">
        <v>19</v>
      </c>
      <c r="F193" s="7">
        <v>30.327999999999999</v>
      </c>
      <c r="G193" s="3"/>
      <c r="H193" s="189"/>
    </row>
    <row r="194" spans="1:9" ht="15.75" customHeight="1">
      <c r="A194" s="3" t="s">
        <v>1046</v>
      </c>
      <c r="B194" s="3" t="s">
        <v>1027</v>
      </c>
      <c r="C194" s="3" t="s">
        <v>21</v>
      </c>
      <c r="D194" s="7" t="s">
        <v>223</v>
      </c>
      <c r="E194" s="7" t="s">
        <v>17</v>
      </c>
      <c r="F194" s="7">
        <v>19.747</v>
      </c>
      <c r="G194" s="3">
        <f t="shared" ref="G194" si="62">F194/F195</f>
        <v>0.57492648557370363</v>
      </c>
      <c r="H194" s="189">
        <f t="shared" ref="H194" si="63">(G194-0.94)/0.52</f>
        <v>-0.70206445081980062</v>
      </c>
      <c r="I194" s="72" t="s">
        <v>709</v>
      </c>
    </row>
    <row r="195" spans="1:9" ht="15.75" customHeight="1">
      <c r="A195" s="7"/>
      <c r="B195" s="7"/>
      <c r="C195" s="7"/>
      <c r="D195" s="7" t="s">
        <v>223</v>
      </c>
      <c r="E195" s="7" t="s">
        <v>19</v>
      </c>
      <c r="F195" s="7">
        <v>34.347000000000001</v>
      </c>
      <c r="G195" s="3"/>
      <c r="H195" s="189"/>
    </row>
    <row r="196" spans="1:9" ht="15.75" customHeight="1">
      <c r="A196" s="3" t="s">
        <v>1046</v>
      </c>
      <c r="B196" s="3" t="s">
        <v>1029</v>
      </c>
      <c r="C196" s="3" t="s">
        <v>45</v>
      </c>
      <c r="D196" s="7" t="s">
        <v>89</v>
      </c>
      <c r="E196" s="7" t="s">
        <v>17</v>
      </c>
      <c r="F196" s="7">
        <v>15.919</v>
      </c>
      <c r="G196" s="3">
        <f t="shared" ref="G196" si="64">F196/F197</f>
        <v>0.51117461948494003</v>
      </c>
      <c r="H196" s="189">
        <f t="shared" ref="H196" si="65">(G196-0.94)/0.52</f>
        <v>-0.82466419329819207</v>
      </c>
      <c r="I196" s="72" t="s">
        <v>709</v>
      </c>
    </row>
    <row r="197" spans="1:9" ht="15.75" customHeight="1">
      <c r="A197" s="7"/>
      <c r="B197" s="7"/>
      <c r="C197" s="7"/>
      <c r="D197" s="7" t="s">
        <v>89</v>
      </c>
      <c r="E197" s="7" t="s">
        <v>19</v>
      </c>
      <c r="F197" s="7">
        <v>31.141999999999999</v>
      </c>
      <c r="G197" s="3"/>
      <c r="H197" s="189"/>
    </row>
    <row r="204" spans="1:9" s="122" customFormat="1" ht="15.75" customHeight="1">
      <c r="A204" s="126"/>
      <c r="B204" s="126"/>
      <c r="C204" s="126"/>
      <c r="D204" s="126"/>
      <c r="E204" s="126"/>
      <c r="F204" s="126"/>
      <c r="G204" s="126"/>
      <c r="H204" s="126"/>
      <c r="I204" s="126"/>
    </row>
    <row r="219" spans="1:9" s="122" customFormat="1" ht="15.75" customHeight="1">
      <c r="A219" s="126"/>
      <c r="B219" s="126"/>
      <c r="C219" s="126"/>
      <c r="D219" s="126"/>
      <c r="E219" s="126"/>
      <c r="F219" s="126"/>
      <c r="G219" s="126"/>
      <c r="H219" s="126"/>
      <c r="I219" s="126"/>
    </row>
    <row r="234" spans="1:9" s="122" customFormat="1" ht="15.75" customHeight="1">
      <c r="A234" s="126"/>
      <c r="B234" s="126"/>
      <c r="C234" s="126"/>
      <c r="D234" s="126"/>
      <c r="E234" s="126"/>
      <c r="F234" s="126"/>
      <c r="G234" s="126"/>
      <c r="H234" s="126"/>
      <c r="I234" s="126"/>
    </row>
  </sheetData>
  <phoneticPr fontId="5" type="noConversion"/>
  <conditionalFormatting sqref="H20">
    <cfRule type="cellIs" dxfId="28" priority="36" operator="lessThan">
      <formula>0</formula>
    </cfRule>
    <cfRule type="cellIs" dxfId="27" priority="35" operator="lessThan">
      <formula>0</formula>
    </cfRule>
    <cfRule type="cellIs" dxfId="26" priority="37" operator="greaterThan">
      <formula>0</formula>
    </cfRule>
  </conditionalFormatting>
  <conditionalFormatting sqref="H57:H58">
    <cfRule type="cellIs" dxfId="25" priority="5" operator="lessThan">
      <formula>0</formula>
    </cfRule>
    <cfRule type="cellIs" dxfId="24" priority="6" operator="greaterThan">
      <formula>0</formula>
    </cfRule>
  </conditionalFormatting>
  <conditionalFormatting sqref="H66:H73">
    <cfRule type="cellIs" dxfId="23" priority="27" operator="lessThan">
      <formula>0</formula>
    </cfRule>
    <cfRule type="cellIs" dxfId="22" priority="28" operator="greaterThan">
      <formula>0</formula>
    </cfRule>
  </conditionalFormatting>
  <conditionalFormatting sqref="H95:H96">
    <cfRule type="cellIs" dxfId="21" priority="15" operator="lessThan">
      <formula>0</formula>
    </cfRule>
    <cfRule type="cellIs" dxfId="20" priority="16" operator="greaterThan">
      <formula>0</formula>
    </cfRule>
  </conditionalFormatting>
  <conditionalFormatting sqref="H102:H105">
    <cfRule type="cellIs" dxfId="19" priority="34" operator="greaterThan">
      <formula>0</formula>
    </cfRule>
    <cfRule type="cellIs" dxfId="18" priority="33" operator="lessThan">
      <formula>0</formula>
    </cfRule>
  </conditionalFormatting>
  <conditionalFormatting sqref="H109:H118">
    <cfRule type="cellIs" dxfId="17" priority="7" operator="lessThan">
      <formula>0</formula>
    </cfRule>
    <cfRule type="cellIs" dxfId="16" priority="8" operator="greaterThan">
      <formula>0</formula>
    </cfRule>
  </conditionalFormatting>
  <conditionalFormatting sqref="H122:H129">
    <cfRule type="cellIs" dxfId="15" priority="9" operator="lessThan">
      <formula>0</formula>
    </cfRule>
    <cfRule type="cellIs" dxfId="14" priority="10" operator="greaterThan">
      <formula>0</formula>
    </cfRule>
  </conditionalFormatting>
  <conditionalFormatting sqref="H135:H144">
    <cfRule type="cellIs" dxfId="13" priority="11" operator="lessThan">
      <formula>0</formula>
    </cfRule>
    <cfRule type="cellIs" dxfId="12" priority="12" operator="greaterThan">
      <formula>0</formula>
    </cfRule>
  </conditionalFormatting>
  <conditionalFormatting sqref="H146:H155">
    <cfRule type="cellIs" dxfId="11" priority="13" operator="lessThan">
      <formula>0</formula>
    </cfRule>
    <cfRule type="cellIs" dxfId="10" priority="14" operator="greaterThan">
      <formula>0</formula>
    </cfRule>
  </conditionalFormatting>
  <conditionalFormatting sqref="H157:H166">
    <cfRule type="cellIs" dxfId="9" priority="18" operator="greaterThan">
      <formula>0</formula>
    </cfRule>
    <cfRule type="cellIs" dxfId="8" priority="17" operator="lessThan">
      <formula>0</formula>
    </cfRule>
  </conditionalFormatting>
  <conditionalFormatting sqref="H175:H182">
    <cfRule type="cellIs" dxfId="7" priority="2" operator="greaterThan">
      <formula>0</formula>
    </cfRule>
    <cfRule type="cellIs" dxfId="6" priority="1" operator="lessThan">
      <formula>0</formula>
    </cfRule>
  </conditionalFormatting>
  <conditionalFormatting sqref="H190:H197">
    <cfRule type="cellIs" dxfId="5" priority="4" operator="greaterThan">
      <formula>0</formula>
    </cfRule>
    <cfRule type="cellIs" dxfId="4" priority="3" operator="lessThan">
      <formula>0</formula>
    </cfRule>
  </conditionalFormatting>
  <pageMargins left="0.7" right="0.7" top="0.75" bottom="0.75" header="0.3" footer="0.3"/>
  <pageSetup scale="82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407D5-5017-BC42-A2F6-7FBEA63EED50}">
  <dimension ref="A1:AA69"/>
  <sheetViews>
    <sheetView workbookViewId="0">
      <selection activeCell="Q8" sqref="Q8"/>
    </sheetView>
  </sheetViews>
  <sheetFormatPr baseColWidth="10" defaultColWidth="11" defaultRowHeight="16"/>
  <cols>
    <col min="1" max="1" width="13.1640625" bestFit="1" customWidth="1"/>
    <col min="2" max="2" width="18.5" bestFit="1" customWidth="1"/>
    <col min="3" max="3" width="9.1640625" bestFit="1" customWidth="1"/>
    <col min="4" max="4" width="11.6640625" bestFit="1" customWidth="1"/>
    <col min="6" max="6" width="16.6640625" bestFit="1" customWidth="1"/>
    <col min="7" max="7" width="19.6640625" bestFit="1" customWidth="1"/>
    <col min="8" max="8" width="18.1640625" bestFit="1" customWidth="1"/>
    <col min="10" max="10" width="12.83203125" bestFit="1" customWidth="1"/>
    <col min="11" max="11" width="20.1640625" bestFit="1" customWidth="1"/>
    <col min="12" max="12" width="10.1640625" bestFit="1" customWidth="1"/>
    <col min="15" max="15" width="16.6640625" bestFit="1" customWidth="1"/>
    <col min="16" max="16" width="19.6640625" bestFit="1" customWidth="1"/>
    <col min="17" max="17" width="18.1640625" bestFit="1" customWidth="1"/>
    <col min="19" max="19" width="12.83203125" bestFit="1" customWidth="1"/>
    <col min="20" max="20" width="20.1640625" bestFit="1" customWidth="1"/>
    <col min="21" max="21" width="10.1640625" bestFit="1" customWidth="1"/>
    <col min="24" max="24" width="16.6640625" bestFit="1" customWidth="1"/>
    <col min="25" max="25" width="19.6640625" bestFit="1" customWidth="1"/>
    <col min="26" max="26" width="18.164062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1</v>
      </c>
      <c r="E1" s="1" t="s">
        <v>4</v>
      </c>
      <c r="F1" s="1" t="s">
        <v>5</v>
      </c>
      <c r="G1" s="1" t="s">
        <v>6</v>
      </c>
      <c r="H1" s="38" t="s">
        <v>7</v>
      </c>
      <c r="J1" s="1" t="s">
        <v>0</v>
      </c>
      <c r="K1" s="1" t="s">
        <v>1</v>
      </c>
      <c r="L1" s="1" t="s">
        <v>2</v>
      </c>
      <c r="M1" s="1" t="s">
        <v>1</v>
      </c>
      <c r="N1" s="1" t="s">
        <v>4</v>
      </c>
      <c r="O1" s="1" t="s">
        <v>5</v>
      </c>
      <c r="P1" s="1" t="s">
        <v>6</v>
      </c>
      <c r="Q1" s="38" t="s">
        <v>7</v>
      </c>
      <c r="S1" s="1" t="s">
        <v>0</v>
      </c>
      <c r="T1" s="1" t="s">
        <v>1</v>
      </c>
      <c r="U1" s="1" t="s">
        <v>2</v>
      </c>
      <c r="V1" s="1" t="s">
        <v>1</v>
      </c>
      <c r="W1" s="1" t="s">
        <v>4</v>
      </c>
      <c r="X1" s="1" t="s">
        <v>5</v>
      </c>
      <c r="Y1" s="1" t="s">
        <v>6</v>
      </c>
      <c r="Z1" s="38" t="s">
        <v>7</v>
      </c>
    </row>
    <row r="2" spans="1:27">
      <c r="A2" s="43" t="s">
        <v>362</v>
      </c>
      <c r="B2" s="4" t="s">
        <v>1047</v>
      </c>
      <c r="C2" s="39" t="s">
        <v>21</v>
      </c>
      <c r="D2" s="3" t="s">
        <v>68</v>
      </c>
      <c r="E2" s="3" t="s">
        <v>17</v>
      </c>
      <c r="F2" s="3">
        <v>38</v>
      </c>
      <c r="G2" s="3">
        <f>F2/F3</f>
        <v>2.3370233702337022</v>
      </c>
      <c r="H2" s="44">
        <f>(G2-0.94)/0.52</f>
        <v>2.6865834042955812</v>
      </c>
      <c r="I2" s="55" t="s">
        <v>1048</v>
      </c>
      <c r="J2" s="40" t="s">
        <v>759</v>
      </c>
      <c r="K2" s="40" t="s">
        <v>1049</v>
      </c>
      <c r="L2" s="40" t="s">
        <v>1050</v>
      </c>
      <c r="M2" s="7" t="s">
        <v>68</v>
      </c>
      <c r="N2" s="7" t="s">
        <v>17</v>
      </c>
      <c r="O2" s="7">
        <v>17.552</v>
      </c>
      <c r="P2" s="3">
        <f>O2/O3</f>
        <v>0.70188347262766415</v>
      </c>
      <c r="Q2" s="41">
        <f>(P2-0.94)/0.52</f>
        <v>-0.45791639879295343</v>
      </c>
      <c r="R2" s="55" t="s">
        <v>1051</v>
      </c>
      <c r="S2" s="40" t="s">
        <v>759</v>
      </c>
      <c r="T2" s="40" t="s">
        <v>1052</v>
      </c>
      <c r="U2" s="40" t="s">
        <v>1050</v>
      </c>
      <c r="V2" s="7" t="s">
        <v>68</v>
      </c>
      <c r="W2" s="7" t="s">
        <v>17</v>
      </c>
      <c r="X2" s="4">
        <v>26.797999999999998</v>
      </c>
      <c r="Y2" s="3">
        <f>X2/X3</f>
        <v>1.0315254628738597</v>
      </c>
      <c r="Z2" s="42">
        <f>(Y2-0.94)/0.52</f>
        <v>0.1760105055266534</v>
      </c>
      <c r="AA2" s="55" t="s">
        <v>1053</v>
      </c>
    </row>
    <row r="3" spans="1:27">
      <c r="A3" s="3"/>
      <c r="B3" s="3"/>
      <c r="C3" s="3"/>
      <c r="D3" s="3" t="s">
        <v>68</v>
      </c>
      <c r="E3" s="3" t="s">
        <v>19</v>
      </c>
      <c r="F3" s="3">
        <v>16.260000000000002</v>
      </c>
      <c r="G3" s="3"/>
      <c r="H3" s="44"/>
      <c r="J3" s="7"/>
      <c r="K3" s="7"/>
      <c r="L3" s="7"/>
      <c r="M3" s="7" t="s">
        <v>68</v>
      </c>
      <c r="N3" s="7" t="s">
        <v>19</v>
      </c>
      <c r="O3" s="7">
        <v>25.007000000000001</v>
      </c>
      <c r="P3" s="3"/>
      <c r="Q3" s="41"/>
      <c r="S3" s="7"/>
      <c r="T3" s="7"/>
      <c r="U3" s="7"/>
      <c r="V3" s="7" t="s">
        <v>68</v>
      </c>
      <c r="W3" s="7" t="s">
        <v>19</v>
      </c>
      <c r="X3" s="4">
        <v>25.978999999999999</v>
      </c>
      <c r="Y3" s="3"/>
      <c r="Z3" s="42"/>
    </row>
    <row r="4" spans="1:27">
      <c r="A4" s="43" t="s">
        <v>362</v>
      </c>
      <c r="B4" s="4" t="s">
        <v>1054</v>
      </c>
      <c r="C4" s="39" t="s">
        <v>21</v>
      </c>
      <c r="D4" s="3" t="s">
        <v>71</v>
      </c>
      <c r="E4" s="3" t="s">
        <v>17</v>
      </c>
      <c r="F4" s="3">
        <v>38.252000000000002</v>
      </c>
      <c r="G4" s="3">
        <f t="shared" ref="G4:G36" si="0">F4/F5</f>
        <v>2.3280384638792526</v>
      </c>
      <c r="H4" s="44">
        <f t="shared" ref="H4:H36" si="1">(G4-0.94)/0.52</f>
        <v>2.6693047382293318</v>
      </c>
      <c r="J4" s="49" t="s">
        <v>759</v>
      </c>
      <c r="K4" s="49" t="s">
        <v>1049</v>
      </c>
      <c r="L4" s="49" t="s">
        <v>1055</v>
      </c>
      <c r="M4" s="7" t="s">
        <v>71</v>
      </c>
      <c r="N4" s="7" t="s">
        <v>17</v>
      </c>
      <c r="O4" s="7">
        <v>17.64</v>
      </c>
      <c r="P4" s="3">
        <f>O4/O5</f>
        <v>0.79427259219235447</v>
      </c>
      <c r="Q4" s="41">
        <f>(P4-0.94)/0.52</f>
        <v>-0.28024501501470284</v>
      </c>
      <c r="S4" s="49" t="s">
        <v>759</v>
      </c>
      <c r="T4" s="49" t="s">
        <v>1052</v>
      </c>
      <c r="U4" s="49" t="s">
        <v>1055</v>
      </c>
      <c r="V4" s="7" t="s">
        <v>71</v>
      </c>
      <c r="W4" s="7" t="s">
        <v>17</v>
      </c>
      <c r="X4" s="4">
        <v>23.625</v>
      </c>
      <c r="Y4" s="3">
        <f t="shared" ref="Y4:Y48" si="2">X4/X5</f>
        <v>1.3240486465280503</v>
      </c>
      <c r="Z4" s="42">
        <f t="shared" ref="Z4:Z48" si="3">(Y4-0.94)/0.52</f>
        <v>0.73855508947701998</v>
      </c>
    </row>
    <row r="5" spans="1:27">
      <c r="A5" s="3"/>
      <c r="B5" s="3"/>
      <c r="C5" s="3"/>
      <c r="D5" s="3" t="s">
        <v>71</v>
      </c>
      <c r="E5" s="3" t="s">
        <v>19</v>
      </c>
      <c r="F5" s="3">
        <v>16.431000000000001</v>
      </c>
      <c r="G5" s="3"/>
      <c r="H5" s="44"/>
      <c r="J5" s="7"/>
      <c r="K5" s="7"/>
      <c r="L5" s="7"/>
      <c r="M5" s="7" t="s">
        <v>71</v>
      </c>
      <c r="N5" s="7" t="s">
        <v>19</v>
      </c>
      <c r="O5" s="7">
        <v>22.209</v>
      </c>
      <c r="P5" s="3"/>
      <c r="Q5" s="41"/>
      <c r="S5" s="7"/>
      <c r="T5" s="7"/>
      <c r="U5" s="7"/>
      <c r="V5" s="7" t="s">
        <v>71</v>
      </c>
      <c r="W5" s="7" t="s">
        <v>19</v>
      </c>
      <c r="X5" s="4">
        <v>17.843</v>
      </c>
      <c r="Y5" s="3"/>
      <c r="Z5" s="42"/>
    </row>
    <row r="6" spans="1:27">
      <c r="A6" s="43" t="s">
        <v>362</v>
      </c>
      <c r="B6" s="4" t="s">
        <v>1056</v>
      </c>
      <c r="C6" s="39" t="s">
        <v>21</v>
      </c>
      <c r="D6" s="3" t="s">
        <v>74</v>
      </c>
      <c r="E6" s="3" t="s">
        <v>17</v>
      </c>
      <c r="F6" s="3">
        <v>37.600999999999999</v>
      </c>
      <c r="G6" s="3">
        <f t="shared" si="0"/>
        <v>2.2696324017625398</v>
      </c>
      <c r="H6" s="44">
        <f t="shared" si="1"/>
        <v>2.5569853880048843</v>
      </c>
      <c r="J6" s="40" t="s">
        <v>759</v>
      </c>
      <c r="K6" s="40" t="s">
        <v>1057</v>
      </c>
      <c r="L6" s="40" t="s">
        <v>1050</v>
      </c>
      <c r="M6" s="7" t="s">
        <v>74</v>
      </c>
      <c r="N6" s="7" t="s">
        <v>17</v>
      </c>
      <c r="O6" s="7">
        <v>27.332999999999998</v>
      </c>
      <c r="P6" s="3">
        <f>O6/O7</f>
        <v>0.90831450219327392</v>
      </c>
      <c r="Q6" s="41">
        <f>(P6-0.94)/0.52</f>
        <v>-6.0933649628319278E-2</v>
      </c>
      <c r="S6" s="40" t="s">
        <v>759</v>
      </c>
      <c r="T6" s="40" t="s">
        <v>1058</v>
      </c>
      <c r="U6" s="40" t="s">
        <v>1050</v>
      </c>
      <c r="V6" s="7" t="s">
        <v>74</v>
      </c>
      <c r="W6" s="7" t="s">
        <v>17</v>
      </c>
      <c r="X6" s="4">
        <v>27.029</v>
      </c>
      <c r="Y6" s="3">
        <f t="shared" si="2"/>
        <v>1.0394170127672666</v>
      </c>
      <c r="Z6" s="42">
        <f t="shared" si="3"/>
        <v>0.19118656301397435</v>
      </c>
    </row>
    <row r="7" spans="1:27">
      <c r="A7" s="3"/>
      <c r="B7" s="3"/>
      <c r="C7" s="3"/>
      <c r="D7" s="3" t="s">
        <v>74</v>
      </c>
      <c r="E7" s="3" t="s">
        <v>19</v>
      </c>
      <c r="F7" s="3">
        <v>16.567</v>
      </c>
      <c r="G7" s="3"/>
      <c r="H7" s="44"/>
      <c r="J7" s="7"/>
      <c r="K7" s="7"/>
      <c r="L7" s="7"/>
      <c r="M7" s="7" t="s">
        <v>74</v>
      </c>
      <c r="N7" s="7" t="s">
        <v>19</v>
      </c>
      <c r="O7" s="7">
        <v>30.091999999999999</v>
      </c>
      <c r="P7" s="3"/>
      <c r="Q7" s="41"/>
      <c r="S7" s="7"/>
      <c r="T7" s="7"/>
      <c r="U7" s="7"/>
      <c r="V7" s="7" t="s">
        <v>74</v>
      </c>
      <c r="W7" s="7" t="s">
        <v>19</v>
      </c>
      <c r="X7" s="4">
        <v>26.004000000000001</v>
      </c>
      <c r="Y7" s="3"/>
      <c r="Z7" s="42"/>
    </row>
    <row r="8" spans="1:27">
      <c r="A8" s="43" t="s">
        <v>377</v>
      </c>
      <c r="B8" s="4" t="s">
        <v>1059</v>
      </c>
      <c r="C8" s="39" t="s">
        <v>21</v>
      </c>
      <c r="D8" s="3" t="s">
        <v>81</v>
      </c>
      <c r="E8" s="3" t="s">
        <v>17</v>
      </c>
      <c r="F8" s="3">
        <v>24.407</v>
      </c>
      <c r="G8" s="3">
        <f t="shared" si="0"/>
        <v>1.3683354824241745</v>
      </c>
      <c r="H8" s="44">
        <f t="shared" si="1"/>
        <v>0.82372208158495097</v>
      </c>
      <c r="J8" s="49" t="s">
        <v>759</v>
      </c>
      <c r="K8" s="49" t="s">
        <v>1057</v>
      </c>
      <c r="L8" s="49" t="s">
        <v>1055</v>
      </c>
      <c r="M8" s="7" t="s">
        <v>81</v>
      </c>
      <c r="N8" s="7" t="s">
        <v>17</v>
      </c>
      <c r="O8" s="7">
        <v>17.13</v>
      </c>
      <c r="P8" s="3">
        <f>O8/O9</f>
        <v>0.76082611592271809</v>
      </c>
      <c r="Q8" s="41">
        <f>(P8-0.94)/0.52</f>
        <v>-0.34456516168708046</v>
      </c>
      <c r="S8" s="49" t="s">
        <v>759</v>
      </c>
      <c r="T8" s="49" t="s">
        <v>1058</v>
      </c>
      <c r="U8" s="49" t="s">
        <v>1055</v>
      </c>
      <c r="V8" s="7" t="s">
        <v>81</v>
      </c>
      <c r="W8" s="7" t="s">
        <v>17</v>
      </c>
      <c r="X8" s="4">
        <v>20.638000000000002</v>
      </c>
      <c r="Y8" s="3">
        <f t="shared" si="2"/>
        <v>1.2259712486634193</v>
      </c>
      <c r="Z8" s="42">
        <f t="shared" si="3"/>
        <v>0.5499447089681142</v>
      </c>
    </row>
    <row r="9" spans="1:27">
      <c r="A9" s="3"/>
      <c r="B9" s="3"/>
      <c r="C9" s="3"/>
      <c r="D9" s="3" t="s">
        <v>81</v>
      </c>
      <c r="E9" s="3" t="s">
        <v>19</v>
      </c>
      <c r="F9" s="3">
        <v>17.837</v>
      </c>
      <c r="G9" s="3"/>
      <c r="H9" s="44"/>
      <c r="J9" s="7"/>
      <c r="K9" s="7"/>
      <c r="L9" s="7"/>
      <c r="M9" s="7" t="s">
        <v>81</v>
      </c>
      <c r="N9" s="7" t="s">
        <v>19</v>
      </c>
      <c r="O9" s="7">
        <v>22.515000000000001</v>
      </c>
      <c r="P9" s="3"/>
      <c r="Q9" s="41"/>
      <c r="S9" s="7"/>
      <c r="T9" s="7"/>
      <c r="U9" s="7"/>
      <c r="V9" s="7" t="s">
        <v>81</v>
      </c>
      <c r="W9" s="7" t="s">
        <v>19</v>
      </c>
      <c r="X9" s="4">
        <v>16.834</v>
      </c>
      <c r="Y9" s="3"/>
      <c r="Z9" s="42"/>
    </row>
    <row r="10" spans="1:27">
      <c r="A10" s="43" t="s">
        <v>377</v>
      </c>
      <c r="B10" s="4" t="s">
        <v>1060</v>
      </c>
      <c r="C10" s="39" t="s">
        <v>21</v>
      </c>
      <c r="D10" s="3" t="s">
        <v>83</v>
      </c>
      <c r="E10" s="3" t="s">
        <v>17</v>
      </c>
      <c r="F10" s="3">
        <v>23.518999999999998</v>
      </c>
      <c r="G10" s="3">
        <f t="shared" si="0"/>
        <v>1.2846296700895783</v>
      </c>
      <c r="H10" s="44">
        <f t="shared" si="1"/>
        <v>0.66274936555688135</v>
      </c>
      <c r="J10" s="40" t="s">
        <v>759</v>
      </c>
      <c r="K10" s="40" t="s">
        <v>1061</v>
      </c>
      <c r="L10" s="40" t="s">
        <v>1050</v>
      </c>
      <c r="M10" s="7" t="s">
        <v>83</v>
      </c>
      <c r="N10" s="7" t="s">
        <v>17</v>
      </c>
      <c r="O10" s="7">
        <v>26.001000000000001</v>
      </c>
      <c r="P10" s="3">
        <f>O10/O11</f>
        <v>0.8785308825516962</v>
      </c>
      <c r="Q10" s="41">
        <f>(P10-0.94)/0.52</f>
        <v>-0.11820984124673797</v>
      </c>
      <c r="S10" s="40" t="s">
        <v>759</v>
      </c>
      <c r="T10" s="40" t="s">
        <v>1062</v>
      </c>
      <c r="U10" s="40" t="s">
        <v>1050</v>
      </c>
      <c r="V10" s="7" t="s">
        <v>83</v>
      </c>
      <c r="W10" s="7" t="s">
        <v>17</v>
      </c>
      <c r="X10" s="4">
        <v>28.18</v>
      </c>
      <c r="Y10" s="3">
        <f t="shared" si="2"/>
        <v>1.0800245285911392</v>
      </c>
      <c r="Z10" s="42">
        <f t="shared" si="3"/>
        <v>0.26927793959834467</v>
      </c>
    </row>
    <row r="11" spans="1:27">
      <c r="A11" s="3"/>
      <c r="B11" s="3"/>
      <c r="C11" s="3"/>
      <c r="D11" s="3" t="s">
        <v>83</v>
      </c>
      <c r="E11" s="3" t="s">
        <v>19</v>
      </c>
      <c r="F11" s="3">
        <v>18.308</v>
      </c>
      <c r="G11" s="3"/>
      <c r="H11" s="44"/>
      <c r="J11" s="7"/>
      <c r="K11" s="7"/>
      <c r="L11" s="7"/>
      <c r="M11" s="7" t="s">
        <v>83</v>
      </c>
      <c r="N11" s="7" t="s">
        <v>19</v>
      </c>
      <c r="O11" s="7">
        <v>29.596</v>
      </c>
      <c r="P11" s="3"/>
      <c r="Q11" s="41"/>
      <c r="S11" s="7"/>
      <c r="T11" s="7"/>
      <c r="U11" s="7"/>
      <c r="V11" s="7" t="s">
        <v>83</v>
      </c>
      <c r="W11" s="7" t="s">
        <v>19</v>
      </c>
      <c r="X11" s="4">
        <v>26.091999999999999</v>
      </c>
      <c r="Y11" s="3"/>
      <c r="Z11" s="42"/>
    </row>
    <row r="12" spans="1:27">
      <c r="A12" s="43" t="s">
        <v>377</v>
      </c>
      <c r="B12" s="4" t="s">
        <v>1063</v>
      </c>
      <c r="C12" s="39" t="s">
        <v>21</v>
      </c>
      <c r="D12" s="3" t="s">
        <v>27</v>
      </c>
      <c r="E12" s="3" t="s">
        <v>17</v>
      </c>
      <c r="F12" s="3">
        <v>21.852</v>
      </c>
      <c r="G12" s="3">
        <f t="shared" si="0"/>
        <v>1.2109725685785535</v>
      </c>
      <c r="H12" s="44">
        <f t="shared" si="1"/>
        <v>0.52110109342029531</v>
      </c>
      <c r="J12" s="49" t="s">
        <v>759</v>
      </c>
      <c r="K12" s="49" t="s">
        <v>1061</v>
      </c>
      <c r="L12" s="49" t="s">
        <v>1055</v>
      </c>
      <c r="M12" s="7" t="s">
        <v>27</v>
      </c>
      <c r="N12" s="7" t="s">
        <v>17</v>
      </c>
      <c r="O12" s="7">
        <v>17.795000000000002</v>
      </c>
      <c r="P12" s="3">
        <f>O12/O13</f>
        <v>0.83442745943918228</v>
      </c>
      <c r="Q12" s="41">
        <f>(P12-0.94)/0.52</f>
        <v>-0.20302411646311089</v>
      </c>
      <c r="S12" s="49" t="s">
        <v>759</v>
      </c>
      <c r="T12" s="49" t="s">
        <v>1062</v>
      </c>
      <c r="U12" s="49" t="s">
        <v>1055</v>
      </c>
      <c r="V12" s="7" t="s">
        <v>27</v>
      </c>
      <c r="W12" s="7" t="s">
        <v>17</v>
      </c>
      <c r="X12" s="4">
        <v>22.666</v>
      </c>
      <c r="Y12" s="3">
        <f t="shared" si="2"/>
        <v>1.2703732765385047</v>
      </c>
      <c r="Z12" s="42">
        <f t="shared" si="3"/>
        <v>0.63533322411250914</v>
      </c>
    </row>
    <row r="13" spans="1:27">
      <c r="A13" s="3"/>
      <c r="B13" s="3"/>
      <c r="C13" s="3"/>
      <c r="D13" s="3" t="s">
        <v>27</v>
      </c>
      <c r="E13" s="3" t="s">
        <v>19</v>
      </c>
      <c r="F13" s="3">
        <v>18.045000000000002</v>
      </c>
      <c r="G13" s="3"/>
      <c r="H13" s="44"/>
      <c r="J13" s="7"/>
      <c r="K13" s="7"/>
      <c r="L13" s="7"/>
      <c r="M13" s="7" t="s">
        <v>27</v>
      </c>
      <c r="N13" s="7" t="s">
        <v>19</v>
      </c>
      <c r="O13" s="7">
        <v>21.326000000000001</v>
      </c>
      <c r="P13" s="3"/>
      <c r="Q13" s="41"/>
      <c r="S13" s="7"/>
      <c r="T13" s="7"/>
      <c r="U13" s="7"/>
      <c r="V13" s="7" t="s">
        <v>27</v>
      </c>
      <c r="W13" s="7" t="s">
        <v>19</v>
      </c>
      <c r="X13" s="4">
        <v>17.841999999999999</v>
      </c>
      <c r="Y13" s="3"/>
      <c r="Z13" s="42"/>
    </row>
    <row r="14" spans="1:27">
      <c r="A14" s="43" t="s">
        <v>392</v>
      </c>
      <c r="B14" s="4" t="s">
        <v>1064</v>
      </c>
      <c r="C14" s="39" t="s">
        <v>21</v>
      </c>
      <c r="D14" s="3" t="s">
        <v>31</v>
      </c>
      <c r="E14" s="3" t="s">
        <v>17</v>
      </c>
      <c r="F14" s="3">
        <v>28.414000000000001</v>
      </c>
      <c r="G14" s="3">
        <f t="shared" si="0"/>
        <v>1.3264553475561367</v>
      </c>
      <c r="H14" s="44">
        <f t="shared" si="1"/>
        <v>0.74318336068487834</v>
      </c>
      <c r="J14" s="40" t="s">
        <v>759</v>
      </c>
      <c r="K14" s="40" t="s">
        <v>1065</v>
      </c>
      <c r="L14" s="40" t="s">
        <v>1050</v>
      </c>
      <c r="M14" s="7" t="s">
        <v>31</v>
      </c>
      <c r="N14" s="7" t="s">
        <v>17</v>
      </c>
      <c r="O14" s="7">
        <v>17.524000000000001</v>
      </c>
      <c r="P14" s="3">
        <f>O14/O15</f>
        <v>0.72180575006178438</v>
      </c>
      <c r="Q14" s="41">
        <f>(P14-0.94)/0.52</f>
        <v>-0.41960432680426069</v>
      </c>
      <c r="S14" s="40" t="s">
        <v>759</v>
      </c>
      <c r="T14" s="40" t="s">
        <v>1066</v>
      </c>
      <c r="U14" s="40" t="s">
        <v>1050</v>
      </c>
      <c r="V14" s="7" t="s">
        <v>31</v>
      </c>
      <c r="W14" s="7" t="s">
        <v>17</v>
      </c>
      <c r="X14" s="4">
        <v>28.295000000000002</v>
      </c>
      <c r="Y14" s="3">
        <f t="shared" si="2"/>
        <v>1.0434413836338827</v>
      </c>
      <c r="Z14" s="42">
        <f t="shared" si="3"/>
        <v>0.19892573775746689</v>
      </c>
    </row>
    <row r="15" spans="1:27">
      <c r="A15" s="3"/>
      <c r="B15" s="3"/>
      <c r="C15" s="3"/>
      <c r="D15" s="3" t="s">
        <v>31</v>
      </c>
      <c r="E15" s="3" t="s">
        <v>19</v>
      </c>
      <c r="F15" s="3">
        <v>21.420999999999999</v>
      </c>
      <c r="G15" s="3"/>
      <c r="H15" s="44"/>
      <c r="J15" s="7"/>
      <c r="K15" s="7"/>
      <c r="L15" s="7"/>
      <c r="M15" s="7" t="s">
        <v>31</v>
      </c>
      <c r="N15" s="7" t="s">
        <v>19</v>
      </c>
      <c r="O15" s="7">
        <v>24.277999999999999</v>
      </c>
      <c r="P15" s="3"/>
      <c r="Q15" s="41"/>
      <c r="S15" s="7"/>
      <c r="T15" s="7"/>
      <c r="U15" s="7"/>
      <c r="V15" s="7" t="s">
        <v>31</v>
      </c>
      <c r="W15" s="7" t="s">
        <v>19</v>
      </c>
      <c r="X15" s="4">
        <v>27.117000000000001</v>
      </c>
      <c r="Y15" s="3"/>
      <c r="Z15" s="42"/>
    </row>
    <row r="16" spans="1:27">
      <c r="A16" s="43" t="s">
        <v>392</v>
      </c>
      <c r="B16" s="4" t="s">
        <v>1067</v>
      </c>
      <c r="C16" s="39" t="s">
        <v>21</v>
      </c>
      <c r="D16" s="3" t="s">
        <v>34</v>
      </c>
      <c r="E16" s="3" t="s">
        <v>17</v>
      </c>
      <c r="F16" s="3">
        <v>29.207999999999998</v>
      </c>
      <c r="G16" s="3">
        <f t="shared" si="0"/>
        <v>1.2545852841372793</v>
      </c>
      <c r="H16" s="44">
        <f t="shared" si="1"/>
        <v>0.60497170026399882</v>
      </c>
      <c r="J16" s="49" t="s">
        <v>759</v>
      </c>
      <c r="K16" s="49" t="s">
        <v>1065</v>
      </c>
      <c r="L16" s="49" t="s">
        <v>1055</v>
      </c>
      <c r="M16" s="7" t="s">
        <v>34</v>
      </c>
      <c r="N16" s="7" t="s">
        <v>17</v>
      </c>
      <c r="O16" s="7">
        <v>23.933</v>
      </c>
      <c r="P16" s="3">
        <f>O16/O17</f>
        <v>1.106625976788274</v>
      </c>
      <c r="Q16" s="42">
        <f>(P16-0.94)/0.52</f>
        <v>0.32043457074668086</v>
      </c>
      <c r="S16" s="49" t="s">
        <v>759</v>
      </c>
      <c r="T16" s="49" t="s">
        <v>1066</v>
      </c>
      <c r="U16" s="49" t="s">
        <v>1055</v>
      </c>
      <c r="V16" s="7" t="s">
        <v>34</v>
      </c>
      <c r="W16" s="7" t="s">
        <v>17</v>
      </c>
      <c r="X16" s="4">
        <v>20.81</v>
      </c>
      <c r="Y16" s="3">
        <f t="shared" si="2"/>
        <v>1.1811113003008116</v>
      </c>
      <c r="Z16" s="42">
        <f t="shared" si="3"/>
        <v>0.4636755775015608</v>
      </c>
    </row>
    <row r="17" spans="1:26">
      <c r="A17" s="3"/>
      <c r="B17" s="3"/>
      <c r="C17" s="3"/>
      <c r="D17" s="3" t="s">
        <v>34</v>
      </c>
      <c r="E17" s="3" t="s">
        <v>19</v>
      </c>
      <c r="F17" s="3">
        <v>23.280999999999999</v>
      </c>
      <c r="G17" s="3"/>
      <c r="H17" s="44"/>
      <c r="J17" s="7"/>
      <c r="K17" s="7"/>
      <c r="L17" s="7"/>
      <c r="M17" s="7" t="s">
        <v>34</v>
      </c>
      <c r="N17" s="7" t="s">
        <v>19</v>
      </c>
      <c r="O17" s="7">
        <v>21.626999999999999</v>
      </c>
      <c r="P17" s="3"/>
      <c r="Q17" s="42"/>
      <c r="S17" s="7"/>
      <c r="T17" s="7"/>
      <c r="U17" s="7"/>
      <c r="V17" s="7" t="s">
        <v>34</v>
      </c>
      <c r="W17" s="7" t="s">
        <v>19</v>
      </c>
      <c r="X17" s="4">
        <v>17.619</v>
      </c>
      <c r="Y17" s="3"/>
      <c r="Z17" s="42"/>
    </row>
    <row r="18" spans="1:26">
      <c r="A18" s="43" t="s">
        <v>392</v>
      </c>
      <c r="B18" s="4" t="s">
        <v>1068</v>
      </c>
      <c r="C18" s="39" t="s">
        <v>21</v>
      </c>
      <c r="D18" s="3" t="s">
        <v>105</v>
      </c>
      <c r="E18" s="3" t="s">
        <v>17</v>
      </c>
      <c r="F18" s="3">
        <v>27.277999999999999</v>
      </c>
      <c r="G18" s="3">
        <f t="shared" si="0"/>
        <v>1.2624028137726766</v>
      </c>
      <c r="H18" s="44">
        <f t="shared" si="1"/>
        <v>0.62000541110130125</v>
      </c>
      <c r="J18" s="40" t="s">
        <v>769</v>
      </c>
      <c r="K18" s="40" t="s">
        <v>1069</v>
      </c>
      <c r="L18" s="40" t="s">
        <v>1050</v>
      </c>
      <c r="M18" s="7" t="s">
        <v>105</v>
      </c>
      <c r="N18" s="7" t="s">
        <v>17</v>
      </c>
      <c r="O18" s="7">
        <v>20.664000000000001</v>
      </c>
      <c r="P18" s="3">
        <f t="shared" ref="P18:P48" si="4">O18/O19</f>
        <v>0.8383981823345642</v>
      </c>
      <c r="Q18" s="41">
        <f t="shared" ref="Q18:Q48" si="5">(P18-0.94)/0.52</f>
        <v>-0.19538811089506875</v>
      </c>
      <c r="S18" s="40" t="s">
        <v>769</v>
      </c>
      <c r="T18" s="40" t="s">
        <v>1070</v>
      </c>
      <c r="U18" s="40" t="s">
        <v>1050</v>
      </c>
      <c r="V18" s="7" t="s">
        <v>105</v>
      </c>
      <c r="W18" s="7" t="s">
        <v>17</v>
      </c>
      <c r="X18" s="4">
        <v>26.859000000000002</v>
      </c>
      <c r="Y18" s="3">
        <f t="shared" si="2"/>
        <v>1.0866170402136095</v>
      </c>
      <c r="Z18" s="42">
        <f t="shared" si="3"/>
        <v>0.28195584656463374</v>
      </c>
    </row>
    <row r="19" spans="1:26">
      <c r="A19" s="3"/>
      <c r="B19" s="3"/>
      <c r="C19" s="3"/>
      <c r="D19" s="3" t="s">
        <v>105</v>
      </c>
      <c r="E19" s="3" t="s">
        <v>19</v>
      </c>
      <c r="F19" s="3">
        <v>21.608000000000001</v>
      </c>
      <c r="G19" s="3"/>
      <c r="H19" s="44"/>
      <c r="J19" s="7"/>
      <c r="K19" s="7"/>
      <c r="L19" s="7"/>
      <c r="M19" s="7" t="s">
        <v>105</v>
      </c>
      <c r="N19" s="7" t="s">
        <v>19</v>
      </c>
      <c r="O19" s="7">
        <v>24.646999999999998</v>
      </c>
      <c r="P19" s="3"/>
      <c r="Q19" s="41"/>
      <c r="S19" s="7"/>
      <c r="T19" s="7"/>
      <c r="U19" s="7"/>
      <c r="V19" s="7" t="s">
        <v>105</v>
      </c>
      <c r="W19" s="7" t="s">
        <v>19</v>
      </c>
      <c r="X19" s="4">
        <v>24.718</v>
      </c>
      <c r="Y19" s="3"/>
      <c r="Z19" s="42"/>
    </row>
    <row r="20" spans="1:26">
      <c r="A20" s="45" t="s">
        <v>362</v>
      </c>
      <c r="B20" s="46" t="s">
        <v>1071</v>
      </c>
      <c r="C20" s="47" t="s">
        <v>33</v>
      </c>
      <c r="D20" s="47" t="s">
        <v>59</v>
      </c>
      <c r="E20" s="47" t="s">
        <v>17</v>
      </c>
      <c r="F20" s="47" t="s">
        <v>522</v>
      </c>
      <c r="G20" s="47" t="e">
        <f t="shared" si="0"/>
        <v>#VALUE!</v>
      </c>
      <c r="H20" s="48" t="e">
        <f t="shared" si="1"/>
        <v>#VALUE!</v>
      </c>
      <c r="J20" s="49" t="s">
        <v>769</v>
      </c>
      <c r="K20" s="49" t="s">
        <v>1069</v>
      </c>
      <c r="L20" s="49" t="s">
        <v>1055</v>
      </c>
      <c r="M20" s="7" t="s">
        <v>59</v>
      </c>
      <c r="N20" s="7" t="s">
        <v>17</v>
      </c>
      <c r="O20" s="7">
        <v>19.402000000000001</v>
      </c>
      <c r="P20" s="3">
        <f t="shared" si="4"/>
        <v>0.92460922607701101</v>
      </c>
      <c r="Q20" s="41">
        <f t="shared" si="5"/>
        <v>-2.9597642159594099E-2</v>
      </c>
      <c r="S20" s="49" t="s">
        <v>769</v>
      </c>
      <c r="T20" s="49" t="s">
        <v>1070</v>
      </c>
      <c r="U20" s="49" t="s">
        <v>1055</v>
      </c>
      <c r="V20" s="7" t="s">
        <v>59</v>
      </c>
      <c r="W20" s="7" t="s">
        <v>17</v>
      </c>
      <c r="X20" s="4">
        <v>24.094000000000001</v>
      </c>
      <c r="Y20" s="3">
        <f t="shared" si="2"/>
        <v>1.4310150264298866</v>
      </c>
      <c r="Z20" s="42">
        <f t="shared" si="3"/>
        <v>0.94425966621132051</v>
      </c>
    </row>
    <row r="21" spans="1:26">
      <c r="A21" s="47"/>
      <c r="B21" s="47"/>
      <c r="C21" s="47"/>
      <c r="D21" s="47" t="s">
        <v>59</v>
      </c>
      <c r="E21" s="47" t="s">
        <v>19</v>
      </c>
      <c r="F21" s="47">
        <v>16.978000000000002</v>
      </c>
      <c r="G21" s="47"/>
      <c r="H21" s="48"/>
      <c r="J21" s="7"/>
      <c r="K21" s="7"/>
      <c r="L21" s="7"/>
      <c r="M21" s="7" t="s">
        <v>59</v>
      </c>
      <c r="N21" s="7" t="s">
        <v>19</v>
      </c>
      <c r="O21" s="7">
        <v>20.984000000000002</v>
      </c>
      <c r="P21" s="3"/>
      <c r="Q21" s="41"/>
      <c r="S21" s="7"/>
      <c r="T21" s="7"/>
      <c r="U21" s="7"/>
      <c r="V21" s="7" t="s">
        <v>59</v>
      </c>
      <c r="W21" s="7" t="s">
        <v>19</v>
      </c>
      <c r="X21" s="4">
        <v>16.837</v>
      </c>
      <c r="Y21" s="3"/>
      <c r="Z21" s="42"/>
    </row>
    <row r="22" spans="1:26">
      <c r="A22" s="43" t="s">
        <v>362</v>
      </c>
      <c r="B22" s="4" t="s">
        <v>1072</v>
      </c>
      <c r="C22" s="3" t="s">
        <v>33</v>
      </c>
      <c r="D22" s="3" t="s">
        <v>49</v>
      </c>
      <c r="E22" s="3" t="s">
        <v>17</v>
      </c>
      <c r="F22" s="3">
        <v>38.667000000000002</v>
      </c>
      <c r="G22" s="3">
        <f t="shared" si="0"/>
        <v>2.2009904371584699</v>
      </c>
      <c r="H22" s="44">
        <f t="shared" si="1"/>
        <v>2.4249816099201342</v>
      </c>
      <c r="J22" s="40" t="s">
        <v>769</v>
      </c>
      <c r="K22" s="40" t="s">
        <v>1073</v>
      </c>
      <c r="L22" s="40" t="s">
        <v>1050</v>
      </c>
      <c r="M22" s="7" t="s">
        <v>49</v>
      </c>
      <c r="N22" s="7" t="s">
        <v>17</v>
      </c>
      <c r="O22" s="7">
        <v>18.263000000000002</v>
      </c>
      <c r="P22" s="3">
        <f t="shared" si="4"/>
        <v>0.76629043762849847</v>
      </c>
      <c r="Q22" s="41">
        <f t="shared" si="5"/>
        <v>-0.33405685071442592</v>
      </c>
      <c r="S22" s="40" t="s">
        <v>769</v>
      </c>
      <c r="T22" s="40" t="s">
        <v>1074</v>
      </c>
      <c r="U22" s="40" t="s">
        <v>1050</v>
      </c>
      <c r="V22" s="7" t="s">
        <v>49</v>
      </c>
      <c r="W22" s="7" t="s">
        <v>17</v>
      </c>
      <c r="X22" s="4">
        <v>25.105</v>
      </c>
      <c r="Y22" s="3">
        <f t="shared" si="2"/>
        <v>1.0682524147908599</v>
      </c>
      <c r="Z22" s="42">
        <f t="shared" si="3"/>
        <v>0.24663925921319213</v>
      </c>
    </row>
    <row r="23" spans="1:26">
      <c r="A23" s="3"/>
      <c r="B23" s="3"/>
      <c r="C23" s="3"/>
      <c r="D23" s="3" t="s">
        <v>49</v>
      </c>
      <c r="E23" s="3" t="s">
        <v>19</v>
      </c>
      <c r="F23" s="3">
        <v>17.568000000000001</v>
      </c>
      <c r="G23" s="3"/>
      <c r="H23" s="44"/>
      <c r="J23" s="7"/>
      <c r="K23" s="7"/>
      <c r="L23" s="7"/>
      <c r="M23" s="7" t="s">
        <v>49</v>
      </c>
      <c r="N23" s="7" t="s">
        <v>19</v>
      </c>
      <c r="O23" s="7">
        <v>23.832999999999998</v>
      </c>
      <c r="P23" s="3"/>
      <c r="Q23" s="41"/>
      <c r="S23" s="7"/>
      <c r="T23" s="7"/>
      <c r="U23" s="7"/>
      <c r="V23" s="7" t="s">
        <v>49</v>
      </c>
      <c r="W23" s="7" t="s">
        <v>19</v>
      </c>
      <c r="X23" s="4">
        <v>23.501000000000001</v>
      </c>
      <c r="Y23" s="3"/>
      <c r="Z23" s="42"/>
    </row>
    <row r="24" spans="1:26">
      <c r="A24" s="43" t="s">
        <v>362</v>
      </c>
      <c r="B24" s="4" t="s">
        <v>1075</v>
      </c>
      <c r="C24" s="3" t="s">
        <v>33</v>
      </c>
      <c r="D24" s="3" t="s">
        <v>52</v>
      </c>
      <c r="E24" s="3" t="s">
        <v>17</v>
      </c>
      <c r="F24" s="3">
        <v>38.689</v>
      </c>
      <c r="G24" s="3">
        <f t="shared" si="0"/>
        <v>2.259475559189394</v>
      </c>
      <c r="H24" s="44">
        <f t="shared" si="1"/>
        <v>2.5374529984411422</v>
      </c>
      <c r="J24" s="49" t="s">
        <v>769</v>
      </c>
      <c r="K24" s="49" t="s">
        <v>1073</v>
      </c>
      <c r="L24" s="49" t="s">
        <v>1055</v>
      </c>
      <c r="M24" s="7" t="s">
        <v>52</v>
      </c>
      <c r="N24" s="7" t="s">
        <v>17</v>
      </c>
      <c r="O24" s="7">
        <v>26.599</v>
      </c>
      <c r="P24" s="3">
        <f t="shared" si="4"/>
        <v>1.2846034965710422</v>
      </c>
      <c r="Q24" s="42">
        <f t="shared" si="5"/>
        <v>0.66269903186738899</v>
      </c>
      <c r="S24" s="49" t="s">
        <v>769</v>
      </c>
      <c r="T24" s="49" t="s">
        <v>1074</v>
      </c>
      <c r="U24" s="49" t="s">
        <v>1055</v>
      </c>
      <c r="V24" s="7" t="s">
        <v>52</v>
      </c>
      <c r="W24" s="7" t="s">
        <v>17</v>
      </c>
      <c r="X24" s="4">
        <v>19.481000000000002</v>
      </c>
      <c r="Y24" s="3">
        <f t="shared" si="2"/>
        <v>1.2353985668082947</v>
      </c>
      <c r="Z24" s="42">
        <f t="shared" si="3"/>
        <v>0.56807416693902846</v>
      </c>
    </row>
    <row r="25" spans="1:26">
      <c r="A25" s="3"/>
      <c r="B25" s="3"/>
      <c r="C25" s="3"/>
      <c r="D25" s="3" t="s">
        <v>52</v>
      </c>
      <c r="E25" s="3" t="s">
        <v>19</v>
      </c>
      <c r="F25" s="3">
        <v>17.123000000000001</v>
      </c>
      <c r="G25" s="3"/>
      <c r="H25" s="44"/>
      <c r="J25" s="7"/>
      <c r="K25" s="7"/>
      <c r="L25" s="7"/>
      <c r="M25" s="7" t="s">
        <v>52</v>
      </c>
      <c r="N25" s="7" t="s">
        <v>19</v>
      </c>
      <c r="O25" s="7">
        <v>20.706</v>
      </c>
      <c r="P25" s="3"/>
      <c r="Q25" s="42"/>
      <c r="S25" s="7"/>
      <c r="T25" s="7"/>
      <c r="U25" s="7"/>
      <c r="V25" s="7" t="s">
        <v>52</v>
      </c>
      <c r="W25" s="7" t="s">
        <v>19</v>
      </c>
      <c r="X25" s="4">
        <v>15.769</v>
      </c>
      <c r="Y25" s="3"/>
      <c r="Z25" s="42"/>
    </row>
    <row r="26" spans="1:26">
      <c r="A26" s="43" t="s">
        <v>377</v>
      </c>
      <c r="B26" s="4" t="s">
        <v>1076</v>
      </c>
      <c r="C26" s="3" t="s">
        <v>33</v>
      </c>
      <c r="D26" s="3" t="s">
        <v>55</v>
      </c>
      <c r="E26" s="3" t="s">
        <v>17</v>
      </c>
      <c r="F26" s="3">
        <v>18.303999999999998</v>
      </c>
      <c r="G26" s="3">
        <f t="shared" si="0"/>
        <v>0.98812351543942978</v>
      </c>
      <c r="H26" s="44">
        <f t="shared" si="1"/>
        <v>9.2545221998903512E-2</v>
      </c>
      <c r="J26" s="40" t="s">
        <v>769</v>
      </c>
      <c r="K26" s="40" t="s">
        <v>1077</v>
      </c>
      <c r="L26" s="40" t="s">
        <v>1050</v>
      </c>
      <c r="M26" s="7" t="s">
        <v>55</v>
      </c>
      <c r="N26" s="7" t="s">
        <v>17</v>
      </c>
      <c r="O26" s="7">
        <v>19.11</v>
      </c>
      <c r="P26" s="3">
        <f t="shared" si="4"/>
        <v>0.79708029197080288</v>
      </c>
      <c r="Q26" s="41">
        <f t="shared" si="5"/>
        <v>-0.27484559236384049</v>
      </c>
      <c r="S26" s="40" t="s">
        <v>769</v>
      </c>
      <c r="T26" s="40" t="s">
        <v>1078</v>
      </c>
      <c r="U26" s="40" t="s">
        <v>1050</v>
      </c>
      <c r="V26" s="7" t="s">
        <v>55</v>
      </c>
      <c r="W26" s="7" t="s">
        <v>17</v>
      </c>
      <c r="X26" s="4">
        <v>28.888999999999999</v>
      </c>
      <c r="Y26" s="3">
        <f t="shared" si="2"/>
        <v>1.1575509876988419</v>
      </c>
      <c r="Z26" s="42">
        <f t="shared" si="3"/>
        <v>0.41836728403623452</v>
      </c>
    </row>
    <row r="27" spans="1:26">
      <c r="A27" s="3"/>
      <c r="B27" s="3"/>
      <c r="C27" s="3"/>
      <c r="D27" s="3" t="s">
        <v>55</v>
      </c>
      <c r="E27" s="3" t="s">
        <v>19</v>
      </c>
      <c r="F27" s="3">
        <v>18.524000000000001</v>
      </c>
      <c r="G27" s="3"/>
      <c r="H27" s="44"/>
      <c r="J27" s="7"/>
      <c r="K27" s="7"/>
      <c r="L27" s="7"/>
      <c r="M27" s="7" t="s">
        <v>55</v>
      </c>
      <c r="N27" s="7" t="s">
        <v>19</v>
      </c>
      <c r="O27" s="7">
        <v>23.975000000000001</v>
      </c>
      <c r="P27" s="3"/>
      <c r="Q27" s="41"/>
      <c r="S27" s="7"/>
      <c r="T27" s="7"/>
      <c r="U27" s="7"/>
      <c r="V27" s="7" t="s">
        <v>55</v>
      </c>
      <c r="W27" s="7" t="s">
        <v>19</v>
      </c>
      <c r="X27" s="4">
        <v>24.957000000000001</v>
      </c>
      <c r="Y27" s="3"/>
      <c r="Z27" s="42"/>
    </row>
    <row r="28" spans="1:26">
      <c r="A28" s="43" t="s">
        <v>377</v>
      </c>
      <c r="B28" s="4" t="s">
        <v>1079</v>
      </c>
      <c r="C28" s="3" t="s">
        <v>33</v>
      </c>
      <c r="D28" s="3" t="s">
        <v>182</v>
      </c>
      <c r="E28" s="3" t="s">
        <v>17</v>
      </c>
      <c r="F28" s="3">
        <v>17.75</v>
      </c>
      <c r="G28" s="3">
        <f t="shared" si="0"/>
        <v>1.0065782012022229</v>
      </c>
      <c r="H28" s="44">
        <f t="shared" si="1"/>
        <v>0.12803500231196713</v>
      </c>
      <c r="J28" s="49" t="s">
        <v>769</v>
      </c>
      <c r="K28" s="49" t="s">
        <v>1077</v>
      </c>
      <c r="L28" s="49" t="s">
        <v>1055</v>
      </c>
      <c r="M28" s="7" t="s">
        <v>182</v>
      </c>
      <c r="N28" s="7" t="s">
        <v>17</v>
      </c>
      <c r="O28" s="7">
        <v>28.132999999999999</v>
      </c>
      <c r="P28" s="3">
        <f t="shared" si="4"/>
        <v>1.3417751705060332</v>
      </c>
      <c r="Q28" s="42">
        <f t="shared" si="5"/>
        <v>0.77264455866544857</v>
      </c>
      <c r="S28" s="49" t="s">
        <v>769</v>
      </c>
      <c r="T28" s="49" t="s">
        <v>1078</v>
      </c>
      <c r="U28" s="49" t="s">
        <v>1055</v>
      </c>
      <c r="V28" s="7" t="s">
        <v>182</v>
      </c>
      <c r="W28" s="7" t="s">
        <v>17</v>
      </c>
      <c r="X28" s="4">
        <v>23.776</v>
      </c>
      <c r="Y28" s="3">
        <f t="shared" si="2"/>
        <v>1.4365295148329407</v>
      </c>
      <c r="Z28" s="42">
        <f t="shared" si="3"/>
        <v>0.95486445160180899</v>
      </c>
    </row>
    <row r="29" spans="1:26">
      <c r="A29" s="3"/>
      <c r="B29" s="3"/>
      <c r="C29" s="3"/>
      <c r="D29" s="3" t="s">
        <v>182</v>
      </c>
      <c r="E29" s="3" t="s">
        <v>19</v>
      </c>
      <c r="F29" s="3">
        <v>17.634</v>
      </c>
      <c r="G29" s="3"/>
      <c r="H29" s="44"/>
      <c r="J29" s="7"/>
      <c r="K29" s="7"/>
      <c r="L29" s="7"/>
      <c r="M29" s="7" t="s">
        <v>182</v>
      </c>
      <c r="N29" s="7" t="s">
        <v>19</v>
      </c>
      <c r="O29" s="7">
        <v>20.966999999999999</v>
      </c>
      <c r="P29" s="3"/>
      <c r="Q29" s="42"/>
      <c r="S29" s="7"/>
      <c r="T29" s="7"/>
      <c r="U29" s="7"/>
      <c r="V29" s="7" t="s">
        <v>182</v>
      </c>
      <c r="W29" s="7" t="s">
        <v>19</v>
      </c>
      <c r="X29" s="4">
        <v>16.550999999999998</v>
      </c>
      <c r="Y29" s="3"/>
      <c r="Z29" s="42"/>
    </row>
    <row r="30" spans="1:26">
      <c r="A30" s="43" t="s">
        <v>377</v>
      </c>
      <c r="B30" s="4" t="s">
        <v>1080</v>
      </c>
      <c r="C30" s="3" t="s">
        <v>33</v>
      </c>
      <c r="D30" s="3" t="s">
        <v>185</v>
      </c>
      <c r="E30" s="3" t="s">
        <v>17</v>
      </c>
      <c r="F30" s="3">
        <v>18.062000000000001</v>
      </c>
      <c r="G30" s="3">
        <f t="shared" si="0"/>
        <v>1.0085995085995085</v>
      </c>
      <c r="H30" s="44">
        <f t="shared" si="1"/>
        <v>0.1319221319221319</v>
      </c>
      <c r="J30" s="49" t="s">
        <v>769</v>
      </c>
      <c r="K30" s="49" t="s">
        <v>1081</v>
      </c>
      <c r="L30" s="49" t="s">
        <v>1050</v>
      </c>
      <c r="M30" s="7" t="s">
        <v>185</v>
      </c>
      <c r="N30" s="7" t="s">
        <v>17</v>
      </c>
      <c r="O30" s="7">
        <v>17.55</v>
      </c>
      <c r="P30" s="3">
        <f t="shared" si="4"/>
        <v>0.76990568107041013</v>
      </c>
      <c r="Q30" s="41">
        <f t="shared" si="5"/>
        <v>-0.3271044594799804</v>
      </c>
      <c r="S30" s="49" t="s">
        <v>769</v>
      </c>
      <c r="T30" s="49" t="s">
        <v>1082</v>
      </c>
      <c r="U30" s="49" t="s">
        <v>1050</v>
      </c>
      <c r="V30" s="7" t="s">
        <v>185</v>
      </c>
      <c r="W30" s="7" t="s">
        <v>17</v>
      </c>
      <c r="X30" s="4">
        <v>24.599</v>
      </c>
      <c r="Y30" s="3">
        <f t="shared" si="2"/>
        <v>1.0125128627289566</v>
      </c>
      <c r="Z30" s="42">
        <f t="shared" si="3"/>
        <v>0.1394478129403012</v>
      </c>
    </row>
    <row r="31" spans="1:26">
      <c r="A31" s="3"/>
      <c r="B31" s="3"/>
      <c r="C31" s="3"/>
      <c r="D31" s="3" t="s">
        <v>185</v>
      </c>
      <c r="E31" s="3" t="s">
        <v>19</v>
      </c>
      <c r="F31" s="3">
        <v>17.908000000000001</v>
      </c>
      <c r="G31" s="3"/>
      <c r="H31" s="44"/>
      <c r="J31" s="7"/>
      <c r="K31" s="7"/>
      <c r="L31" s="7"/>
      <c r="M31" s="7" t="s">
        <v>185</v>
      </c>
      <c r="N31" s="7" t="s">
        <v>19</v>
      </c>
      <c r="O31" s="7">
        <v>22.795000000000002</v>
      </c>
      <c r="P31" s="3"/>
      <c r="Q31" s="41"/>
      <c r="S31" s="7"/>
      <c r="T31" s="7"/>
      <c r="U31" s="7"/>
      <c r="V31" s="7" t="s">
        <v>185</v>
      </c>
      <c r="W31" s="7" t="s">
        <v>19</v>
      </c>
      <c r="X31" s="4">
        <v>24.295000000000002</v>
      </c>
      <c r="Y31" s="3"/>
      <c r="Z31" s="42"/>
    </row>
    <row r="32" spans="1:26">
      <c r="A32" s="43" t="s">
        <v>392</v>
      </c>
      <c r="B32" s="4" t="s">
        <v>1083</v>
      </c>
      <c r="C32" s="3" t="s">
        <v>33</v>
      </c>
      <c r="D32" s="3" t="s">
        <v>100</v>
      </c>
      <c r="E32" s="3" t="s">
        <v>17</v>
      </c>
      <c r="F32" s="3">
        <v>26.611999999999998</v>
      </c>
      <c r="G32" s="3">
        <f t="shared" si="0"/>
        <v>1.6487206492782356</v>
      </c>
      <c r="H32" s="44">
        <f t="shared" si="1"/>
        <v>1.3629243255350685</v>
      </c>
      <c r="J32" s="49" t="s">
        <v>769</v>
      </c>
      <c r="K32" s="49" t="s">
        <v>1081</v>
      </c>
      <c r="L32" s="49" t="s">
        <v>1055</v>
      </c>
      <c r="M32" s="7" t="s">
        <v>100</v>
      </c>
      <c r="N32" s="7" t="s">
        <v>17</v>
      </c>
      <c r="O32" s="7">
        <v>26.245999999999999</v>
      </c>
      <c r="P32" s="3">
        <f t="shared" si="4"/>
        <v>1.3372395169918989</v>
      </c>
      <c r="Q32" s="42">
        <f t="shared" si="5"/>
        <v>0.76392214806134418</v>
      </c>
      <c r="S32" s="49" t="s">
        <v>769</v>
      </c>
      <c r="T32" s="49" t="s">
        <v>1082</v>
      </c>
      <c r="U32" s="49" t="s">
        <v>1055</v>
      </c>
      <c r="V32" s="7" t="s">
        <v>100</v>
      </c>
      <c r="W32" s="7" t="s">
        <v>17</v>
      </c>
      <c r="X32" s="4">
        <v>21.532</v>
      </c>
      <c r="Y32" s="3">
        <f t="shared" si="2"/>
        <v>1.2758947617918937</v>
      </c>
      <c r="Z32" s="42">
        <f t="shared" si="3"/>
        <v>0.64595146498441092</v>
      </c>
    </row>
    <row r="33" spans="1:26">
      <c r="A33" s="3"/>
      <c r="B33" s="3"/>
      <c r="C33" s="3"/>
      <c r="D33" s="3" t="s">
        <v>100</v>
      </c>
      <c r="E33" s="3" t="s">
        <v>19</v>
      </c>
      <c r="F33" s="3">
        <v>16.140999999999998</v>
      </c>
      <c r="G33" s="3"/>
      <c r="H33" s="44"/>
      <c r="J33" s="7"/>
      <c r="K33" s="7"/>
      <c r="L33" s="7"/>
      <c r="M33" s="7" t="s">
        <v>100</v>
      </c>
      <c r="N33" s="7" t="s">
        <v>19</v>
      </c>
      <c r="O33" s="7">
        <v>19.626999999999999</v>
      </c>
      <c r="P33" s="3"/>
      <c r="Q33" s="42"/>
      <c r="S33" s="7"/>
      <c r="T33" s="7"/>
      <c r="U33" s="7"/>
      <c r="V33" s="7" t="s">
        <v>100</v>
      </c>
      <c r="W33" s="7" t="s">
        <v>19</v>
      </c>
      <c r="X33" s="4">
        <v>16.876000000000001</v>
      </c>
      <c r="Y33" s="3"/>
      <c r="Z33" s="42"/>
    </row>
    <row r="34" spans="1:26">
      <c r="A34" s="43" t="s">
        <v>392</v>
      </c>
      <c r="B34" s="4" t="s">
        <v>1084</v>
      </c>
      <c r="C34" s="3" t="s">
        <v>33</v>
      </c>
      <c r="D34" s="3" t="s">
        <v>173</v>
      </c>
      <c r="E34" s="3" t="s">
        <v>17</v>
      </c>
      <c r="F34" s="3">
        <v>26.803999999999998</v>
      </c>
      <c r="G34" s="3">
        <f t="shared" si="0"/>
        <v>1.6111077718338642</v>
      </c>
      <c r="H34" s="44">
        <f t="shared" si="1"/>
        <v>1.2905918689112774</v>
      </c>
      <c r="J34" s="49" t="s">
        <v>1085</v>
      </c>
      <c r="K34" s="49" t="s">
        <v>1086</v>
      </c>
      <c r="L34" s="49" t="s">
        <v>1050</v>
      </c>
      <c r="M34" s="7" t="s">
        <v>173</v>
      </c>
      <c r="N34" s="7" t="s">
        <v>17</v>
      </c>
      <c r="O34" s="7">
        <v>25.933</v>
      </c>
      <c r="P34" s="3">
        <f t="shared" si="4"/>
        <v>0.98754760091393745</v>
      </c>
      <c r="Q34" s="42">
        <f t="shared" si="5"/>
        <v>9.1437694065264433E-2</v>
      </c>
      <c r="S34" s="49" t="s">
        <v>1085</v>
      </c>
      <c r="T34" s="49" t="s">
        <v>1087</v>
      </c>
      <c r="U34" s="49" t="s">
        <v>1050</v>
      </c>
      <c r="V34" s="7" t="s">
        <v>173</v>
      </c>
      <c r="W34" s="7" t="s">
        <v>17</v>
      </c>
      <c r="X34" s="4">
        <v>31.885999999999999</v>
      </c>
      <c r="Y34" s="3">
        <f t="shared" si="2"/>
        <v>1.258972637896316</v>
      </c>
      <c r="Z34" s="42">
        <f t="shared" si="3"/>
        <v>0.61340891903137695</v>
      </c>
    </row>
    <row r="35" spans="1:26">
      <c r="A35" s="3"/>
      <c r="B35" s="3"/>
      <c r="C35" s="3"/>
      <c r="D35" s="3" t="s">
        <v>173</v>
      </c>
      <c r="E35" s="3" t="s">
        <v>19</v>
      </c>
      <c r="F35" s="3">
        <v>16.637</v>
      </c>
      <c r="G35" s="3"/>
      <c r="H35" s="44"/>
      <c r="J35" s="7"/>
      <c r="K35" s="7"/>
      <c r="L35" s="7"/>
      <c r="M35" s="7" t="s">
        <v>173</v>
      </c>
      <c r="N35" s="7" t="s">
        <v>19</v>
      </c>
      <c r="O35" s="7">
        <v>26.26</v>
      </c>
      <c r="P35" s="3"/>
      <c r="Q35" s="42"/>
      <c r="S35" s="7"/>
      <c r="T35" s="7"/>
      <c r="U35" s="7"/>
      <c r="V35" s="7" t="s">
        <v>173</v>
      </c>
      <c r="W35" s="7" t="s">
        <v>19</v>
      </c>
      <c r="X35" s="4">
        <v>25.327000000000002</v>
      </c>
      <c r="Y35" s="3"/>
      <c r="Z35" s="42"/>
    </row>
    <row r="36" spans="1:26">
      <c r="A36" s="43" t="s">
        <v>392</v>
      </c>
      <c r="B36" s="4" t="s">
        <v>1088</v>
      </c>
      <c r="C36" s="3" t="s">
        <v>33</v>
      </c>
      <c r="D36" s="3" t="s">
        <v>39</v>
      </c>
      <c r="E36" s="3" t="s">
        <v>17</v>
      </c>
      <c r="F36" s="3">
        <v>25.856999999999999</v>
      </c>
      <c r="G36" s="3">
        <f t="shared" si="0"/>
        <v>1.6084224931575017</v>
      </c>
      <c r="H36" s="44">
        <f t="shared" si="1"/>
        <v>1.2854278714567342</v>
      </c>
      <c r="J36" s="49" t="s">
        <v>1085</v>
      </c>
      <c r="K36" s="49" t="s">
        <v>1086</v>
      </c>
      <c r="L36" s="49" t="s">
        <v>1055</v>
      </c>
      <c r="M36" s="7" t="s">
        <v>39</v>
      </c>
      <c r="N36" s="7" t="s">
        <v>17</v>
      </c>
      <c r="O36" s="7">
        <v>26.5</v>
      </c>
      <c r="P36" s="3">
        <f t="shared" si="4"/>
        <v>1.0480936560670779</v>
      </c>
      <c r="Q36" s="42">
        <f t="shared" si="5"/>
        <v>0.20787241551361152</v>
      </c>
      <c r="S36" s="49" t="s">
        <v>1085</v>
      </c>
      <c r="T36" s="49" t="s">
        <v>1087</v>
      </c>
      <c r="U36" s="49" t="s">
        <v>1055</v>
      </c>
      <c r="V36" s="7" t="s">
        <v>39</v>
      </c>
      <c r="W36" s="7" t="s">
        <v>17</v>
      </c>
      <c r="X36" s="4">
        <v>36.295000000000002</v>
      </c>
      <c r="Y36" s="3">
        <f t="shared" si="2"/>
        <v>1.9120745969866191</v>
      </c>
      <c r="Z36" s="42">
        <f t="shared" si="3"/>
        <v>1.8693742249742675</v>
      </c>
    </row>
    <row r="37" spans="1:26">
      <c r="A37" s="3"/>
      <c r="B37" s="3"/>
      <c r="C37" s="3"/>
      <c r="D37" s="3" t="s">
        <v>39</v>
      </c>
      <c r="E37" s="3" t="s">
        <v>19</v>
      </c>
      <c r="F37" s="3">
        <v>16.076000000000001</v>
      </c>
      <c r="G37" s="3"/>
      <c r="H37" s="44"/>
      <c r="J37" s="7"/>
      <c r="K37" s="7"/>
      <c r="L37" s="7"/>
      <c r="M37" s="7" t="s">
        <v>39</v>
      </c>
      <c r="N37" s="7" t="s">
        <v>19</v>
      </c>
      <c r="O37" s="7">
        <v>25.283999999999999</v>
      </c>
      <c r="P37" s="3"/>
      <c r="Q37" s="42"/>
      <c r="S37" s="7"/>
      <c r="T37" s="7"/>
      <c r="U37" s="7"/>
      <c r="V37" s="7" t="s">
        <v>39</v>
      </c>
      <c r="W37" s="7" t="s">
        <v>19</v>
      </c>
      <c r="X37" s="4">
        <v>18.981999999999999</v>
      </c>
      <c r="Y37" s="3"/>
      <c r="Z37" s="42"/>
    </row>
    <row r="38" spans="1:26">
      <c r="J38" s="49" t="s">
        <v>1085</v>
      </c>
      <c r="K38" s="49" t="s">
        <v>1089</v>
      </c>
      <c r="L38" s="49" t="s">
        <v>1050</v>
      </c>
      <c r="M38" s="7" t="s">
        <v>42</v>
      </c>
      <c r="N38" s="7" t="s">
        <v>17</v>
      </c>
      <c r="O38" s="7">
        <v>33.723999999999997</v>
      </c>
      <c r="P38" s="3">
        <f t="shared" si="4"/>
        <v>1.1417930660888407</v>
      </c>
      <c r="Q38" s="42">
        <f t="shared" si="5"/>
        <v>0.38806358863238599</v>
      </c>
      <c r="S38" s="49" t="s">
        <v>1085</v>
      </c>
      <c r="T38" s="49" t="s">
        <v>1090</v>
      </c>
      <c r="U38" s="49" t="s">
        <v>1050</v>
      </c>
      <c r="V38" s="7" t="s">
        <v>42</v>
      </c>
      <c r="W38" s="7" t="s">
        <v>17</v>
      </c>
      <c r="X38" s="4">
        <v>34.363</v>
      </c>
      <c r="Y38" s="3">
        <f t="shared" si="2"/>
        <v>1.3773297526954986</v>
      </c>
      <c r="Z38" s="42">
        <f t="shared" si="3"/>
        <v>0.84101875518365132</v>
      </c>
    </row>
    <row r="39" spans="1:26">
      <c r="J39" s="7"/>
      <c r="K39" s="7"/>
      <c r="L39" s="7"/>
      <c r="M39" s="7" t="s">
        <v>42</v>
      </c>
      <c r="N39" s="7" t="s">
        <v>19</v>
      </c>
      <c r="O39" s="7">
        <v>29.536000000000001</v>
      </c>
      <c r="P39" s="3"/>
      <c r="Q39" s="42"/>
      <c r="S39" s="7"/>
      <c r="T39" s="7"/>
      <c r="U39" s="7"/>
      <c r="V39" s="7" t="s">
        <v>42</v>
      </c>
      <c r="W39" s="7" t="s">
        <v>19</v>
      </c>
      <c r="X39" s="4">
        <v>24.949000000000002</v>
      </c>
      <c r="Y39" s="3"/>
      <c r="Z39" s="42"/>
    </row>
    <row r="40" spans="1:26">
      <c r="J40" s="49" t="s">
        <v>1085</v>
      </c>
      <c r="K40" s="49" t="s">
        <v>1089</v>
      </c>
      <c r="L40" s="49" t="s">
        <v>1055</v>
      </c>
      <c r="M40" s="7" t="s">
        <v>16</v>
      </c>
      <c r="N40" s="7" t="s">
        <v>17</v>
      </c>
      <c r="O40" s="7">
        <v>38.347000000000001</v>
      </c>
      <c r="P40" s="3">
        <f t="shared" si="4"/>
        <v>1.513179701681004</v>
      </c>
      <c r="Q40" s="42">
        <f t="shared" si="5"/>
        <v>1.102268657078854</v>
      </c>
      <c r="S40" s="49" t="s">
        <v>1085</v>
      </c>
      <c r="T40" s="49" t="s">
        <v>1090</v>
      </c>
      <c r="U40" s="49" t="s">
        <v>1055</v>
      </c>
      <c r="V40" s="7" t="s">
        <v>16</v>
      </c>
      <c r="W40" s="7" t="s">
        <v>17</v>
      </c>
      <c r="X40" s="4">
        <v>34.332000000000001</v>
      </c>
      <c r="Y40" s="3">
        <f t="shared" si="2"/>
        <v>2.0392017106200999</v>
      </c>
      <c r="Z40" s="42">
        <f t="shared" si="3"/>
        <v>2.1138494435001922</v>
      </c>
    </row>
    <row r="41" spans="1:26">
      <c r="J41" s="7"/>
      <c r="K41" s="7"/>
      <c r="L41" s="7"/>
      <c r="M41" s="7" t="s">
        <v>16</v>
      </c>
      <c r="N41" s="7" t="s">
        <v>19</v>
      </c>
      <c r="O41" s="7">
        <v>25.341999999999999</v>
      </c>
      <c r="P41" s="3"/>
      <c r="Q41" s="42"/>
      <c r="S41" s="7"/>
      <c r="T41" s="7"/>
      <c r="U41" s="7"/>
      <c r="V41" s="7" t="s">
        <v>16</v>
      </c>
      <c r="W41" s="7" t="s">
        <v>19</v>
      </c>
      <c r="X41" s="4">
        <v>16.835999999999999</v>
      </c>
      <c r="Y41" s="3"/>
      <c r="Z41" s="42"/>
    </row>
    <row r="42" spans="1:26">
      <c r="J42" s="49" t="s">
        <v>1085</v>
      </c>
      <c r="K42" s="49" t="s">
        <v>1091</v>
      </c>
      <c r="L42" s="49" t="s">
        <v>1050</v>
      </c>
      <c r="M42" s="7" t="s">
        <v>22</v>
      </c>
      <c r="N42" s="7" t="s">
        <v>17</v>
      </c>
      <c r="O42" s="7">
        <v>26.956</v>
      </c>
      <c r="P42" s="3">
        <f t="shared" si="4"/>
        <v>1.0228816453534701</v>
      </c>
      <c r="Q42" s="42">
        <f t="shared" si="5"/>
        <v>0.15938777952590422</v>
      </c>
      <c r="S42" s="49" t="s">
        <v>1085</v>
      </c>
      <c r="T42" s="49" t="s">
        <v>1092</v>
      </c>
      <c r="U42" s="49" t="s">
        <v>1050</v>
      </c>
      <c r="V42" s="7" t="s">
        <v>22</v>
      </c>
      <c r="W42" s="7" t="s">
        <v>17</v>
      </c>
      <c r="X42" s="4">
        <v>32.112000000000002</v>
      </c>
      <c r="Y42" s="3">
        <f t="shared" si="2"/>
        <v>1.2611735134710549</v>
      </c>
      <c r="Z42" s="42">
        <f t="shared" si="3"/>
        <v>0.61764137205972103</v>
      </c>
    </row>
    <row r="43" spans="1:26">
      <c r="J43" s="7"/>
      <c r="K43" s="7"/>
      <c r="L43" s="7"/>
      <c r="M43" s="7" t="s">
        <v>22</v>
      </c>
      <c r="N43" s="7" t="s">
        <v>19</v>
      </c>
      <c r="O43" s="7">
        <v>26.353000000000002</v>
      </c>
      <c r="P43" s="3"/>
      <c r="Q43" s="42"/>
      <c r="S43" s="7"/>
      <c r="T43" s="7"/>
      <c r="U43" s="7"/>
      <c r="V43" s="7" t="s">
        <v>22</v>
      </c>
      <c r="W43" s="7" t="s">
        <v>19</v>
      </c>
      <c r="X43" s="4">
        <v>25.462</v>
      </c>
      <c r="Y43" s="3"/>
      <c r="Z43" s="42"/>
    </row>
    <row r="44" spans="1:26">
      <c r="J44" s="49" t="s">
        <v>1085</v>
      </c>
      <c r="K44" s="49" t="s">
        <v>1091</v>
      </c>
      <c r="L44" s="49" t="s">
        <v>1055</v>
      </c>
      <c r="M44" s="7" t="s">
        <v>335</v>
      </c>
      <c r="N44" s="7" t="s">
        <v>17</v>
      </c>
      <c r="O44" s="7">
        <v>25.869</v>
      </c>
      <c r="P44" s="3">
        <f t="shared" si="4"/>
        <v>1.0486865574833792</v>
      </c>
      <c r="Q44" s="42">
        <f t="shared" si="5"/>
        <v>0.20901261054496018</v>
      </c>
      <c r="S44" s="49" t="s">
        <v>1085</v>
      </c>
      <c r="T44" s="49" t="s">
        <v>1092</v>
      </c>
      <c r="U44" s="49" t="s">
        <v>1055</v>
      </c>
      <c r="V44" s="7" t="s">
        <v>335</v>
      </c>
      <c r="W44" s="7" t="s">
        <v>17</v>
      </c>
      <c r="X44" s="4">
        <v>32.761000000000003</v>
      </c>
      <c r="Y44" s="3">
        <f t="shared" si="2"/>
        <v>1.8196511886247502</v>
      </c>
      <c r="Z44" s="42">
        <f t="shared" si="3"/>
        <v>1.6916369012014427</v>
      </c>
    </row>
    <row r="45" spans="1:26">
      <c r="J45" s="7"/>
      <c r="K45" s="7"/>
      <c r="L45" s="7"/>
      <c r="M45" s="7" t="s">
        <v>335</v>
      </c>
      <c r="N45" s="7" t="s">
        <v>19</v>
      </c>
      <c r="O45" s="7">
        <v>24.667999999999999</v>
      </c>
      <c r="P45" s="3"/>
      <c r="Q45" s="42"/>
      <c r="S45" s="7"/>
      <c r="T45" s="7"/>
      <c r="U45" s="7"/>
      <c r="V45" s="7" t="s">
        <v>335</v>
      </c>
      <c r="W45" s="7" t="s">
        <v>19</v>
      </c>
      <c r="X45" s="4">
        <v>18.004000000000001</v>
      </c>
      <c r="Y45" s="3"/>
      <c r="Z45" s="42"/>
    </row>
    <row r="46" spans="1:26">
      <c r="J46" s="49" t="s">
        <v>1085</v>
      </c>
      <c r="K46" s="49" t="s">
        <v>1093</v>
      </c>
      <c r="L46" s="49" t="s">
        <v>1050</v>
      </c>
      <c r="M46" s="7" t="s">
        <v>231</v>
      </c>
      <c r="N46" s="7" t="s">
        <v>17</v>
      </c>
      <c r="O46" s="7">
        <v>25.167000000000002</v>
      </c>
      <c r="P46" s="3">
        <f t="shared" si="4"/>
        <v>0.99793806257187045</v>
      </c>
      <c r="Q46" s="42">
        <f t="shared" si="5"/>
        <v>0.11141935109975097</v>
      </c>
      <c r="S46" s="49" t="s">
        <v>1085</v>
      </c>
      <c r="T46" s="49" t="s">
        <v>1094</v>
      </c>
      <c r="U46" s="49" t="s">
        <v>1050</v>
      </c>
      <c r="V46" s="7" t="s">
        <v>231</v>
      </c>
      <c r="W46" s="7" t="s">
        <v>17</v>
      </c>
      <c r="X46" s="4">
        <v>31.873000000000001</v>
      </c>
      <c r="Y46" s="3">
        <f t="shared" si="2"/>
        <v>1.2166195892816245</v>
      </c>
      <c r="Z46" s="42">
        <f t="shared" si="3"/>
        <v>0.53196074861850873</v>
      </c>
    </row>
    <row r="47" spans="1:26">
      <c r="J47" s="7"/>
      <c r="K47" s="7"/>
      <c r="L47" s="7"/>
      <c r="M47" s="7" t="s">
        <v>231</v>
      </c>
      <c r="N47" s="7" t="s">
        <v>19</v>
      </c>
      <c r="O47" s="7">
        <v>25.219000000000001</v>
      </c>
      <c r="P47" s="3"/>
      <c r="Q47" s="42"/>
      <c r="S47" s="7"/>
      <c r="T47" s="7"/>
      <c r="U47" s="7"/>
      <c r="V47" s="7" t="s">
        <v>231</v>
      </c>
      <c r="W47" s="7" t="s">
        <v>19</v>
      </c>
      <c r="X47" s="4">
        <v>26.198</v>
      </c>
      <c r="Y47" s="3"/>
      <c r="Z47" s="42"/>
    </row>
    <row r="48" spans="1:26">
      <c r="J48" s="49" t="s">
        <v>1085</v>
      </c>
      <c r="K48" s="49" t="s">
        <v>1093</v>
      </c>
      <c r="L48" s="49" t="s">
        <v>1055</v>
      </c>
      <c r="M48" s="7" t="s">
        <v>180</v>
      </c>
      <c r="N48" s="7" t="s">
        <v>17</v>
      </c>
      <c r="O48" s="7">
        <v>32.999000000000002</v>
      </c>
      <c r="P48" s="3">
        <f t="shared" si="4"/>
        <v>1.3937742861969928</v>
      </c>
      <c r="Q48" s="42">
        <f t="shared" si="5"/>
        <v>0.87264285807114017</v>
      </c>
      <c r="S48" s="49" t="s">
        <v>1085</v>
      </c>
      <c r="T48" s="49" t="s">
        <v>1094</v>
      </c>
      <c r="U48" s="49" t="s">
        <v>1055</v>
      </c>
      <c r="V48" s="7" t="s">
        <v>180</v>
      </c>
      <c r="W48" s="7" t="s">
        <v>17</v>
      </c>
      <c r="X48" s="4">
        <v>33.981000000000002</v>
      </c>
      <c r="Y48" s="3">
        <f t="shared" si="2"/>
        <v>1.8793761407001826</v>
      </c>
      <c r="Z48" s="42">
        <f t="shared" si="3"/>
        <v>1.8064925782695818</v>
      </c>
    </row>
    <row r="49" spans="1:26">
      <c r="J49" s="7"/>
      <c r="K49" s="7"/>
      <c r="L49" s="4"/>
      <c r="M49" s="7" t="s">
        <v>180</v>
      </c>
      <c r="N49" s="7" t="s">
        <v>19</v>
      </c>
      <c r="O49" s="7">
        <v>23.675999999999998</v>
      </c>
      <c r="P49" s="3"/>
      <c r="Q49" s="42"/>
      <c r="S49" s="7"/>
      <c r="T49" s="7"/>
      <c r="U49" s="4"/>
      <c r="V49" s="7" t="s">
        <v>180</v>
      </c>
      <c r="W49" s="7" t="s">
        <v>19</v>
      </c>
      <c r="X49" s="4">
        <v>18.081</v>
      </c>
      <c r="Y49" s="3"/>
      <c r="Z49" s="42"/>
    </row>
    <row r="64" spans="1:26">
      <c r="A64" s="3" t="s">
        <v>1095</v>
      </c>
      <c r="B64" s="3" t="s">
        <v>1079</v>
      </c>
      <c r="C64" s="3" t="s">
        <v>45</v>
      </c>
      <c r="D64" s="7" t="s">
        <v>100</v>
      </c>
      <c r="E64" s="7" t="s">
        <v>17</v>
      </c>
      <c r="F64" s="4">
        <v>17.8</v>
      </c>
      <c r="G64" s="3">
        <f>F64/F65</f>
        <v>1.0016882386043895</v>
      </c>
      <c r="H64" s="42">
        <f>(G64-0.94)/0.52</f>
        <v>0.1186312280853645</v>
      </c>
    </row>
    <row r="65" spans="1:8">
      <c r="A65" s="7"/>
      <c r="B65" s="7"/>
      <c r="C65" s="7"/>
      <c r="D65" s="7" t="s">
        <v>100</v>
      </c>
      <c r="E65" s="7" t="s">
        <v>19</v>
      </c>
      <c r="F65" s="4">
        <v>17.77</v>
      </c>
      <c r="G65" s="3"/>
      <c r="H65" s="42"/>
    </row>
    <row r="66" spans="1:8">
      <c r="A66" s="3" t="s">
        <v>1095</v>
      </c>
      <c r="B66" s="3" t="s">
        <v>1076</v>
      </c>
      <c r="C66" s="3" t="s">
        <v>45</v>
      </c>
      <c r="D66" s="7" t="s">
        <v>173</v>
      </c>
      <c r="E66" s="7" t="s">
        <v>17</v>
      </c>
      <c r="F66" s="4">
        <v>18.204000000000001</v>
      </c>
      <c r="G66" s="3">
        <f>F66/F67</f>
        <v>0.84717051377513031</v>
      </c>
      <c r="H66" s="41">
        <f>(G66-0.94)/0.52</f>
        <v>-0.17851824274013392</v>
      </c>
    </row>
    <row r="67" spans="1:8">
      <c r="A67" s="7"/>
      <c r="B67" s="7"/>
      <c r="C67" s="7"/>
      <c r="D67" s="7" t="s">
        <v>173</v>
      </c>
      <c r="E67" s="7" t="s">
        <v>19</v>
      </c>
      <c r="F67" s="4">
        <v>21.488</v>
      </c>
      <c r="G67" s="3"/>
      <c r="H67" s="41"/>
    </row>
    <row r="68" spans="1:8">
      <c r="A68" s="3" t="s">
        <v>1095</v>
      </c>
      <c r="B68" s="3" t="s">
        <v>1080</v>
      </c>
      <c r="C68" s="3" t="s">
        <v>45</v>
      </c>
      <c r="D68" s="7" t="s">
        <v>39</v>
      </c>
      <c r="E68" s="7" t="s">
        <v>17</v>
      </c>
      <c r="F68" s="4">
        <v>17.994</v>
      </c>
      <c r="G68" s="3">
        <f>F68/F69</f>
        <v>0.8721826377781009</v>
      </c>
      <c r="H68" s="41">
        <f>(G68-0.94)/0.52</f>
        <v>-0.13041800427288278</v>
      </c>
    </row>
    <row r="69" spans="1:8">
      <c r="A69" s="7"/>
      <c r="B69" s="7"/>
      <c r="C69" s="7"/>
      <c r="D69" s="7" t="s">
        <v>39</v>
      </c>
      <c r="E69" s="7" t="s">
        <v>19</v>
      </c>
      <c r="F69" s="4">
        <v>20.631</v>
      </c>
      <c r="G69" s="3"/>
      <c r="H69" s="41"/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81B8-2039-5742-92E1-86729BCC5B92}">
  <sheetPr>
    <pageSetUpPr fitToPage="1"/>
  </sheetPr>
  <dimension ref="A1:M90"/>
  <sheetViews>
    <sheetView tabSelected="1" workbookViewId="0">
      <selection activeCell="J10" sqref="J10"/>
    </sheetView>
  </sheetViews>
  <sheetFormatPr baseColWidth="10" defaultColWidth="11" defaultRowHeight="16"/>
  <cols>
    <col min="1" max="1" width="13" style="51" bestFit="1" customWidth="1"/>
    <col min="2" max="2" width="24.6640625" style="51" bestFit="1" customWidth="1"/>
    <col min="3" max="3" width="17.33203125" style="51" bestFit="1" customWidth="1"/>
    <col min="4" max="4" width="12.6640625" style="51" bestFit="1" customWidth="1"/>
    <col min="5" max="5" width="16.6640625" style="51" bestFit="1" customWidth="1"/>
    <col min="6" max="6" width="19.6640625" style="51" bestFit="1" customWidth="1"/>
    <col min="7" max="7" width="20.1640625" style="51" bestFit="1" customWidth="1"/>
    <col min="8" max="8" width="18.33203125" style="51" bestFit="1" customWidth="1"/>
    <col min="9" max="9" width="12.1640625" style="51" bestFit="1" customWidth="1"/>
    <col min="10" max="10" width="12.6640625" style="51" bestFit="1" customWidth="1"/>
    <col min="11" max="11" width="18.33203125" style="51" bestFit="1" customWidth="1"/>
    <col min="12" max="12" width="11" style="51"/>
    <col min="13" max="13" width="49" style="51" customWidth="1"/>
    <col min="14" max="16384" width="11" style="51"/>
  </cols>
  <sheetData>
    <row r="1" spans="1:13">
      <c r="A1" s="1" t="s">
        <v>0</v>
      </c>
      <c r="B1" s="1" t="s">
        <v>3</v>
      </c>
      <c r="C1" s="56" t="s">
        <v>2</v>
      </c>
      <c r="D1" s="2" t="s">
        <v>1</v>
      </c>
      <c r="E1" s="2" t="s">
        <v>4</v>
      </c>
      <c r="F1" s="2" t="s">
        <v>5</v>
      </c>
      <c r="G1" s="2" t="s">
        <v>6</v>
      </c>
      <c r="H1" s="71" t="s">
        <v>7</v>
      </c>
      <c r="I1" s="51" t="s">
        <v>155</v>
      </c>
      <c r="J1" s="88" t="s">
        <v>10</v>
      </c>
      <c r="K1" s="88" t="s">
        <v>9</v>
      </c>
      <c r="L1" s="88" t="s">
        <v>11</v>
      </c>
      <c r="M1" s="88" t="s">
        <v>12</v>
      </c>
    </row>
    <row r="2" spans="1:13" ht="15.75" customHeight="1">
      <c r="A2" s="36" t="s">
        <v>362</v>
      </c>
      <c r="B2" s="36" t="s">
        <v>363</v>
      </c>
      <c r="C2" s="4" t="s">
        <v>15</v>
      </c>
      <c r="D2" s="52" t="s">
        <v>68</v>
      </c>
      <c r="E2" s="52" t="s">
        <v>17</v>
      </c>
      <c r="F2" s="52">
        <v>33.750999999999998</v>
      </c>
      <c r="G2" s="53">
        <f>F2/F3</f>
        <v>1.984652475596848</v>
      </c>
      <c r="H2" s="54">
        <f>(G2-0.94)/0.52</f>
        <v>2.0089470684554769</v>
      </c>
      <c r="I2" s="72" t="s">
        <v>1096</v>
      </c>
    </row>
    <row r="3" spans="1:13">
      <c r="A3" s="36" t="s">
        <v>362</v>
      </c>
      <c r="B3" s="36" t="s">
        <v>363</v>
      </c>
      <c r="D3" s="4" t="s">
        <v>68</v>
      </c>
      <c r="E3" s="4" t="s">
        <v>19</v>
      </c>
      <c r="F3" s="4">
        <v>17.006</v>
      </c>
      <c r="G3" s="5"/>
      <c r="H3" s="6"/>
    </row>
    <row r="4" spans="1:13">
      <c r="A4" s="3" t="s">
        <v>362</v>
      </c>
      <c r="B4" s="3" t="s">
        <v>366</v>
      </c>
      <c r="C4" s="4" t="s">
        <v>30</v>
      </c>
      <c r="D4" s="4" t="s">
        <v>71</v>
      </c>
      <c r="E4" s="4" t="s">
        <v>17</v>
      </c>
      <c r="F4" s="4">
        <v>30.099</v>
      </c>
      <c r="G4" s="5">
        <f t="shared" ref="G4:G6" si="0">F4/F5</f>
        <v>1.7785853572061694</v>
      </c>
      <c r="H4" s="6">
        <f t="shared" ref="H4:H6" si="1">(G4-0.94)/0.52</f>
        <v>1.6126641484734028</v>
      </c>
    </row>
    <row r="5" spans="1:13">
      <c r="A5" s="3" t="s">
        <v>362</v>
      </c>
      <c r="B5" s="3" t="s">
        <v>366</v>
      </c>
      <c r="D5" s="4" t="s">
        <v>71</v>
      </c>
      <c r="E5" s="4" t="s">
        <v>19</v>
      </c>
      <c r="F5" s="4">
        <v>16.922999999999998</v>
      </c>
      <c r="G5" s="5"/>
      <c r="H5" s="6"/>
    </row>
    <row r="6" spans="1:13">
      <c r="A6" s="3" t="s">
        <v>362</v>
      </c>
      <c r="B6" s="3" t="s">
        <v>369</v>
      </c>
      <c r="C6" s="4" t="s">
        <v>33</v>
      </c>
      <c r="D6" s="4" t="s">
        <v>74</v>
      </c>
      <c r="E6" s="4" t="s">
        <v>17</v>
      </c>
      <c r="F6" s="4">
        <v>37.874000000000002</v>
      </c>
      <c r="G6" s="5">
        <f t="shared" si="0"/>
        <v>2.1811794517392307</v>
      </c>
      <c r="H6" s="6">
        <f t="shared" si="1"/>
        <v>2.3868835610369823</v>
      </c>
    </row>
    <row r="7" spans="1:13">
      <c r="A7" s="3" t="s">
        <v>362</v>
      </c>
      <c r="B7" s="3" t="s">
        <v>369</v>
      </c>
      <c r="D7" s="4" t="s">
        <v>74</v>
      </c>
      <c r="E7" s="4" t="s">
        <v>19</v>
      </c>
      <c r="F7" s="4">
        <v>17.364000000000001</v>
      </c>
      <c r="G7" s="5"/>
      <c r="H7" s="6"/>
    </row>
    <row r="8" spans="1:13" ht="15.75" customHeight="1">
      <c r="A8" s="30" t="s">
        <v>377</v>
      </c>
      <c r="B8" s="31" t="s">
        <v>378</v>
      </c>
      <c r="C8" s="31" t="s">
        <v>15</v>
      </c>
      <c r="D8" s="31" t="s">
        <v>379</v>
      </c>
      <c r="E8" s="31" t="s">
        <v>17</v>
      </c>
      <c r="F8" s="31">
        <v>19.773</v>
      </c>
      <c r="G8" s="31">
        <f>F8/F9</f>
        <v>0.95526353930141539</v>
      </c>
      <c r="H8" s="32">
        <f>(G8-0.94)/0.52</f>
        <v>2.9352960195029691E-2</v>
      </c>
      <c r="I8" s="72" t="s">
        <v>1097</v>
      </c>
    </row>
    <row r="9" spans="1:13">
      <c r="A9" s="30" t="s">
        <v>377</v>
      </c>
      <c r="B9" s="31" t="s">
        <v>378</v>
      </c>
      <c r="C9" s="3"/>
      <c r="D9" s="3" t="s">
        <v>379</v>
      </c>
      <c r="E9" s="3" t="s">
        <v>19</v>
      </c>
      <c r="F9" s="3">
        <v>20.699000000000002</v>
      </c>
      <c r="G9" s="3"/>
      <c r="H9" s="25"/>
    </row>
    <row r="10" spans="1:13">
      <c r="A10" s="23" t="s">
        <v>377</v>
      </c>
      <c r="B10" s="3" t="s">
        <v>381</v>
      </c>
      <c r="C10" s="3" t="s">
        <v>30</v>
      </c>
      <c r="D10" s="3" t="s">
        <v>382</v>
      </c>
      <c r="E10" s="3" t="s">
        <v>17</v>
      </c>
      <c r="F10" s="3">
        <v>18.061</v>
      </c>
      <c r="G10" s="3">
        <f t="shared" ref="G10:G16" si="2">F10/F11</f>
        <v>1.0451362768358314</v>
      </c>
      <c r="H10" s="25">
        <f t="shared" ref="H10:H18" si="3">(G10-0.94)/0.52</f>
        <v>0.20218514776121441</v>
      </c>
      <c r="J10" s="57" t="s">
        <v>377</v>
      </c>
      <c r="K10" s="58" t="s">
        <v>383</v>
      </c>
      <c r="L10" s="82">
        <v>44797</v>
      </c>
      <c r="M10" s="83" t="s">
        <v>24</v>
      </c>
    </row>
    <row r="11" spans="1:13">
      <c r="A11" s="23" t="s">
        <v>377</v>
      </c>
      <c r="B11" s="3" t="s">
        <v>381</v>
      </c>
      <c r="C11" s="3"/>
      <c r="D11" s="3" t="s">
        <v>382</v>
      </c>
      <c r="E11" s="3" t="s">
        <v>19</v>
      </c>
      <c r="F11" s="3">
        <v>17.280999999999999</v>
      </c>
      <c r="G11" s="3"/>
      <c r="H11" s="25"/>
    </row>
    <row r="12" spans="1:13">
      <c r="A12" s="23" t="s">
        <v>377</v>
      </c>
      <c r="B12" s="3" t="s">
        <v>384</v>
      </c>
      <c r="C12" s="3" t="s">
        <v>33</v>
      </c>
      <c r="D12" s="3" t="s">
        <v>385</v>
      </c>
      <c r="E12" s="3" t="s">
        <v>17</v>
      </c>
      <c r="F12" s="3">
        <v>18.550999999999998</v>
      </c>
      <c r="G12" s="3">
        <f t="shared" si="2"/>
        <v>1.0321019250027816</v>
      </c>
      <c r="H12" s="25">
        <f t="shared" si="3"/>
        <v>0.17711908654381095</v>
      </c>
      <c r="J12" s="80" t="s">
        <v>377</v>
      </c>
      <c r="K12" s="90" t="s">
        <v>386</v>
      </c>
      <c r="L12" s="82">
        <v>44585</v>
      </c>
      <c r="M12" s="83" t="s">
        <v>24</v>
      </c>
    </row>
    <row r="13" spans="1:13">
      <c r="A13" s="23" t="s">
        <v>377</v>
      </c>
      <c r="B13" s="3" t="s">
        <v>384</v>
      </c>
      <c r="C13" s="3"/>
      <c r="D13" s="3" t="s">
        <v>385</v>
      </c>
      <c r="E13" s="3" t="s">
        <v>19</v>
      </c>
      <c r="F13" s="3">
        <v>17.974</v>
      </c>
      <c r="G13" s="3"/>
      <c r="H13" s="25"/>
    </row>
    <row r="14" spans="1:13">
      <c r="A14" s="68" t="s">
        <v>387</v>
      </c>
      <c r="B14" s="66" t="s">
        <v>388</v>
      </c>
      <c r="C14" s="66" t="s">
        <v>38</v>
      </c>
      <c r="D14" s="66" t="s">
        <v>65</v>
      </c>
      <c r="E14" s="66" t="s">
        <v>17</v>
      </c>
      <c r="F14" s="66">
        <v>21.959</v>
      </c>
      <c r="G14" s="66">
        <v>1.3632356590000001</v>
      </c>
      <c r="H14" s="69">
        <v>0.81399999999999995</v>
      </c>
    </row>
    <row r="15" spans="1:13">
      <c r="A15" s="68" t="s">
        <v>387</v>
      </c>
      <c r="B15" s="66" t="s">
        <v>388</v>
      </c>
      <c r="C15" s="65" t="s">
        <v>29</v>
      </c>
      <c r="D15" s="65" t="s">
        <v>65</v>
      </c>
      <c r="E15" s="65" t="s">
        <v>19</v>
      </c>
      <c r="F15" s="65">
        <v>16.108000000000001</v>
      </c>
      <c r="G15" s="65" t="s">
        <v>29</v>
      </c>
      <c r="H15" s="65" t="s">
        <v>29</v>
      </c>
    </row>
    <row r="16" spans="1:13">
      <c r="A16" s="23" t="s">
        <v>389</v>
      </c>
      <c r="B16" s="3" t="s">
        <v>390</v>
      </c>
      <c r="C16" s="3" t="s">
        <v>15</v>
      </c>
      <c r="D16" s="3" t="s">
        <v>391</v>
      </c>
      <c r="E16" s="3" t="s">
        <v>17</v>
      </c>
      <c r="F16" s="3">
        <v>19.071000000000002</v>
      </c>
      <c r="G16" s="3">
        <f t="shared" si="2"/>
        <v>0.83777016341591992</v>
      </c>
      <c r="H16" s="33">
        <f t="shared" si="3"/>
        <v>-0.19659583958476928</v>
      </c>
    </row>
    <row r="17" spans="1:13">
      <c r="A17" s="23" t="s">
        <v>389</v>
      </c>
      <c r="B17" s="3" t="s">
        <v>390</v>
      </c>
      <c r="C17" s="3"/>
      <c r="D17" s="3" t="s">
        <v>391</v>
      </c>
      <c r="E17" s="3" t="s">
        <v>19</v>
      </c>
      <c r="F17" s="3">
        <v>22.763999999999999</v>
      </c>
      <c r="G17" s="3"/>
      <c r="H17" s="33"/>
    </row>
    <row r="18" spans="1:13" ht="15.75" customHeight="1">
      <c r="A18" s="23" t="s">
        <v>392</v>
      </c>
      <c r="B18" s="3" t="s">
        <v>393</v>
      </c>
      <c r="C18" s="3" t="s">
        <v>30</v>
      </c>
      <c r="D18" s="3" t="s">
        <v>394</v>
      </c>
      <c r="E18" s="3" t="s">
        <v>17</v>
      </c>
      <c r="F18" s="3">
        <v>24.474</v>
      </c>
      <c r="G18" s="3">
        <f>F18/F19</f>
        <v>1.2319540924192087</v>
      </c>
      <c r="H18" s="25">
        <f t="shared" si="3"/>
        <v>0.56145017772924766</v>
      </c>
    </row>
    <row r="19" spans="1:13">
      <c r="A19" s="23" t="s">
        <v>392</v>
      </c>
      <c r="B19" s="3" t="s">
        <v>393</v>
      </c>
      <c r="C19" s="28"/>
      <c r="D19" s="26" t="s">
        <v>394</v>
      </c>
      <c r="E19" s="26" t="s">
        <v>19</v>
      </c>
      <c r="F19" s="26">
        <v>19.866</v>
      </c>
      <c r="G19" s="26"/>
      <c r="H19" s="34"/>
    </row>
    <row r="20" spans="1:13" ht="64">
      <c r="A20" s="70" t="s">
        <v>395</v>
      </c>
      <c r="B20" s="65" t="s">
        <v>396</v>
      </c>
      <c r="C20" s="65" t="s">
        <v>45</v>
      </c>
      <c r="D20" s="65" t="s">
        <v>321</v>
      </c>
      <c r="E20" s="65" t="s">
        <v>17</v>
      </c>
      <c r="F20" s="65">
        <v>25.486000000000001</v>
      </c>
      <c r="G20" s="65">
        <v>1.6268351839999999</v>
      </c>
      <c r="H20" s="69">
        <v>1.321</v>
      </c>
      <c r="J20" s="84" t="s">
        <v>395</v>
      </c>
      <c r="K20" s="93" t="s">
        <v>397</v>
      </c>
      <c r="L20" s="86">
        <v>44753</v>
      </c>
      <c r="M20" s="94" t="s">
        <v>398</v>
      </c>
    </row>
    <row r="21" spans="1:13">
      <c r="A21" s="70" t="s">
        <v>395</v>
      </c>
      <c r="B21" s="65" t="s">
        <v>396</v>
      </c>
      <c r="C21" s="65" t="s">
        <v>29</v>
      </c>
      <c r="D21" s="65" t="s">
        <v>321</v>
      </c>
      <c r="E21" s="65" t="s">
        <v>19</v>
      </c>
      <c r="F21" s="65">
        <v>15.666</v>
      </c>
      <c r="G21" s="65" t="s">
        <v>29</v>
      </c>
      <c r="H21" s="65" t="s">
        <v>29</v>
      </c>
    </row>
    <row r="22" spans="1:13">
      <c r="A22" s="70"/>
      <c r="B22" s="65"/>
      <c r="C22" s="65"/>
      <c r="D22" s="65"/>
      <c r="E22" s="65"/>
      <c r="F22" s="65"/>
      <c r="G22" s="65"/>
      <c r="H22" s="65"/>
    </row>
    <row r="23" spans="1:13" ht="64">
      <c r="A23" s="70"/>
      <c r="B23" s="65"/>
      <c r="C23" s="65"/>
      <c r="D23" s="65"/>
      <c r="E23" s="65"/>
      <c r="F23" s="65"/>
      <c r="G23" s="65"/>
      <c r="H23" s="65"/>
      <c r="J23" s="80" t="s">
        <v>399</v>
      </c>
      <c r="K23" s="91" t="s">
        <v>403</v>
      </c>
      <c r="L23" s="82">
        <v>44753</v>
      </c>
      <c r="M23" s="92" t="s">
        <v>398</v>
      </c>
    </row>
    <row r="24" spans="1:13">
      <c r="A24" s="70"/>
      <c r="B24" s="65"/>
      <c r="C24" s="65"/>
      <c r="D24" s="65"/>
      <c r="E24" s="65"/>
      <c r="F24" s="65"/>
      <c r="G24" s="65"/>
      <c r="H24" s="65"/>
    </row>
    <row r="25" spans="1:13" ht="15.75" customHeight="1">
      <c r="A25" s="3" t="s">
        <v>404</v>
      </c>
      <c r="B25" s="3" t="s">
        <v>405</v>
      </c>
      <c r="C25" s="3" t="s">
        <v>15</v>
      </c>
      <c r="D25" s="4" t="s">
        <v>83</v>
      </c>
      <c r="E25" s="4" t="s">
        <v>17</v>
      </c>
      <c r="F25" s="4">
        <v>19.248999999999999</v>
      </c>
      <c r="G25" s="3">
        <f t="shared" ref="G25:G45" si="4">F25/F26</f>
        <v>0.89231411088447987</v>
      </c>
      <c r="H25" s="41">
        <f t="shared" ref="H25:H45" si="5">(G25-0.94)/0.52</f>
        <v>-9.170363291446168E-2</v>
      </c>
      <c r="I25" s="72" t="s">
        <v>18</v>
      </c>
    </row>
    <row r="26" spans="1:13">
      <c r="A26" s="3" t="s">
        <v>404</v>
      </c>
      <c r="B26" s="3" t="s">
        <v>405</v>
      </c>
      <c r="C26" s="4"/>
      <c r="D26" s="4" t="s">
        <v>83</v>
      </c>
      <c r="E26" s="4" t="s">
        <v>19</v>
      </c>
      <c r="F26" s="4">
        <v>21.571999999999999</v>
      </c>
      <c r="G26" s="3"/>
      <c r="H26" s="41"/>
    </row>
    <row r="27" spans="1:13">
      <c r="A27" s="3" t="s">
        <v>404</v>
      </c>
      <c r="B27" s="3" t="s">
        <v>407</v>
      </c>
      <c r="C27" s="3" t="s">
        <v>21</v>
      </c>
      <c r="D27" s="4" t="s">
        <v>27</v>
      </c>
      <c r="E27" s="4" t="s">
        <v>17</v>
      </c>
      <c r="F27" s="4">
        <v>18.835000000000001</v>
      </c>
      <c r="G27" s="3">
        <f t="shared" si="4"/>
        <v>0.85718836754198346</v>
      </c>
      <c r="H27" s="41">
        <f t="shared" si="5"/>
        <v>-0.15925313934233939</v>
      </c>
    </row>
    <row r="28" spans="1:13">
      <c r="A28" s="3" t="s">
        <v>404</v>
      </c>
      <c r="B28" s="3" t="s">
        <v>407</v>
      </c>
      <c r="C28" s="4"/>
      <c r="D28" s="4" t="s">
        <v>27</v>
      </c>
      <c r="E28" s="4" t="s">
        <v>19</v>
      </c>
      <c r="F28" s="4">
        <v>21.972999999999999</v>
      </c>
      <c r="G28" s="3"/>
      <c r="H28" s="41"/>
    </row>
    <row r="29" spans="1:13" ht="15.75" customHeight="1">
      <c r="A29" s="3" t="s">
        <v>418</v>
      </c>
      <c r="B29" s="3" t="s">
        <v>419</v>
      </c>
      <c r="C29" s="3" t="s">
        <v>15</v>
      </c>
      <c r="D29" s="4" t="s">
        <v>31</v>
      </c>
      <c r="E29" s="4" t="s">
        <v>17</v>
      </c>
      <c r="F29" s="4">
        <v>18.067</v>
      </c>
      <c r="G29" s="3">
        <f t="shared" si="4"/>
        <v>0.81632929694559908</v>
      </c>
      <c r="H29" s="41">
        <f t="shared" si="5"/>
        <v>-0.23782827510461704</v>
      </c>
    </row>
    <row r="30" spans="1:13">
      <c r="A30" s="3" t="s">
        <v>418</v>
      </c>
      <c r="B30" s="3" t="s">
        <v>419</v>
      </c>
      <c r="C30" s="4"/>
      <c r="D30" s="4" t="s">
        <v>31</v>
      </c>
      <c r="E30" s="4" t="s">
        <v>19</v>
      </c>
      <c r="F30" s="4">
        <v>22.132000000000001</v>
      </c>
      <c r="G30" s="3"/>
      <c r="H30" s="41"/>
    </row>
    <row r="31" spans="1:13">
      <c r="A31" s="3" t="s">
        <v>418</v>
      </c>
      <c r="B31" s="3" t="s">
        <v>420</v>
      </c>
      <c r="C31" s="3" t="s">
        <v>21</v>
      </c>
      <c r="D31" s="4" t="s">
        <v>34</v>
      </c>
      <c r="E31" s="4" t="s">
        <v>17</v>
      </c>
      <c r="F31" s="4">
        <v>21.472999999999999</v>
      </c>
      <c r="G31" s="3">
        <f t="shared" si="4"/>
        <v>1.1342771116158681</v>
      </c>
      <c r="H31" s="42">
        <f t="shared" si="5"/>
        <v>0.37360983003051562</v>
      </c>
      <c r="J31" s="57" t="s">
        <v>418</v>
      </c>
      <c r="K31" s="58" t="s">
        <v>421</v>
      </c>
      <c r="L31" s="82">
        <v>44797</v>
      </c>
      <c r="M31" s="83" t="s">
        <v>24</v>
      </c>
    </row>
    <row r="32" spans="1:13">
      <c r="A32" s="3" t="s">
        <v>418</v>
      </c>
      <c r="B32" s="3" t="s">
        <v>420</v>
      </c>
      <c r="C32" s="4"/>
      <c r="D32" s="4" t="s">
        <v>34</v>
      </c>
      <c r="E32" s="4" t="s">
        <v>19</v>
      </c>
      <c r="F32" s="4">
        <v>18.931000000000001</v>
      </c>
      <c r="G32" s="3"/>
      <c r="H32" s="42"/>
    </row>
    <row r="33" spans="1:13">
      <c r="A33" s="3" t="s">
        <v>418</v>
      </c>
      <c r="B33" s="3" t="s">
        <v>422</v>
      </c>
      <c r="C33" s="3" t="s">
        <v>45</v>
      </c>
      <c r="D33" s="4" t="s">
        <v>105</v>
      </c>
      <c r="E33" s="4" t="s">
        <v>17</v>
      </c>
      <c r="F33" s="4">
        <v>21.077999999999999</v>
      </c>
      <c r="G33" s="3">
        <f t="shared" si="4"/>
        <v>1.2741340748352779</v>
      </c>
      <c r="H33" s="42">
        <f t="shared" si="5"/>
        <v>0.64256552852938054</v>
      </c>
    </row>
    <row r="34" spans="1:13">
      <c r="A34" s="3" t="s">
        <v>418</v>
      </c>
      <c r="B34" s="3" t="s">
        <v>422</v>
      </c>
      <c r="C34" s="4"/>
      <c r="D34" s="4" t="s">
        <v>105</v>
      </c>
      <c r="E34" s="4" t="s">
        <v>19</v>
      </c>
      <c r="F34" s="4">
        <v>16.542999999999999</v>
      </c>
      <c r="G34" s="3"/>
      <c r="H34" s="42"/>
    </row>
    <row r="35" spans="1:13" ht="15.75" customHeight="1">
      <c r="A35" s="3" t="s">
        <v>429</v>
      </c>
      <c r="B35" s="3" t="s">
        <v>430</v>
      </c>
      <c r="C35" s="3" t="s">
        <v>15</v>
      </c>
      <c r="D35" s="4" t="s">
        <v>59</v>
      </c>
      <c r="E35" s="4" t="s">
        <v>17</v>
      </c>
      <c r="F35" s="4">
        <v>18.433</v>
      </c>
      <c r="G35" s="3">
        <f t="shared" si="4"/>
        <v>0.88352585917653259</v>
      </c>
      <c r="H35" s="41">
        <f t="shared" si="5"/>
        <v>-0.10860411696820645</v>
      </c>
    </row>
    <row r="36" spans="1:13">
      <c r="A36" s="3" t="s">
        <v>429</v>
      </c>
      <c r="B36" s="3" t="s">
        <v>430</v>
      </c>
      <c r="C36" s="4"/>
      <c r="D36" s="4" t="s">
        <v>59</v>
      </c>
      <c r="E36" s="4" t="s">
        <v>19</v>
      </c>
      <c r="F36" s="4">
        <v>20.863</v>
      </c>
      <c r="G36" s="3"/>
      <c r="H36" s="41"/>
    </row>
    <row r="37" spans="1:13" ht="15.75" customHeight="1">
      <c r="A37" s="3" t="s">
        <v>434</v>
      </c>
      <c r="B37" s="3" t="s">
        <v>435</v>
      </c>
      <c r="C37" s="3" t="s">
        <v>15</v>
      </c>
      <c r="D37" s="4" t="s">
        <v>49</v>
      </c>
      <c r="E37" s="4" t="s">
        <v>17</v>
      </c>
      <c r="F37" s="4">
        <v>17.59</v>
      </c>
      <c r="G37" s="3">
        <f t="shared" si="4"/>
        <v>0.84025986433553068</v>
      </c>
      <c r="H37" s="41">
        <f t="shared" si="5"/>
        <v>-0.19180795320090244</v>
      </c>
      <c r="J37" s="68" t="s">
        <v>434</v>
      </c>
      <c r="K37" s="66" t="s">
        <v>436</v>
      </c>
      <c r="L37" s="86">
        <v>44753</v>
      </c>
      <c r="M37" s="87" t="s">
        <v>24</v>
      </c>
    </row>
    <row r="38" spans="1:13">
      <c r="A38" s="3" t="s">
        <v>434</v>
      </c>
      <c r="B38" s="3" t="s">
        <v>435</v>
      </c>
      <c r="C38" s="4"/>
      <c r="D38" s="4" t="s">
        <v>49</v>
      </c>
      <c r="E38" s="4" t="s">
        <v>19</v>
      </c>
      <c r="F38" s="4">
        <v>20.934000000000001</v>
      </c>
      <c r="G38" s="3"/>
      <c r="H38" s="41"/>
    </row>
    <row r="39" spans="1:13">
      <c r="A39" s="3" t="s">
        <v>434</v>
      </c>
      <c r="B39" s="3" t="s">
        <v>437</v>
      </c>
      <c r="C39" s="3" t="s">
        <v>21</v>
      </c>
      <c r="D39" s="4" t="s">
        <v>52</v>
      </c>
      <c r="E39" s="4" t="s">
        <v>17</v>
      </c>
      <c r="F39" s="4">
        <v>19.138000000000002</v>
      </c>
      <c r="G39" s="3">
        <f t="shared" si="4"/>
        <v>1.1050929668552951</v>
      </c>
      <c r="H39" s="42">
        <f t="shared" si="5"/>
        <v>0.31748647472172148</v>
      </c>
    </row>
    <row r="40" spans="1:13">
      <c r="A40" s="3" t="s">
        <v>434</v>
      </c>
      <c r="B40" s="3" t="s">
        <v>437</v>
      </c>
      <c r="C40" s="4"/>
      <c r="D40" s="4" t="s">
        <v>52</v>
      </c>
      <c r="E40" s="4" t="s">
        <v>19</v>
      </c>
      <c r="F40" s="4">
        <v>17.318000000000001</v>
      </c>
      <c r="G40" s="3"/>
      <c r="H40" s="42"/>
    </row>
    <row r="41" spans="1:13" ht="15.75" customHeight="1">
      <c r="A41" s="3" t="s">
        <v>441</v>
      </c>
      <c r="B41" s="3" t="s">
        <v>442</v>
      </c>
      <c r="C41" s="3" t="s">
        <v>15</v>
      </c>
      <c r="D41" s="4" t="s">
        <v>55</v>
      </c>
      <c r="E41" s="4" t="s">
        <v>17</v>
      </c>
      <c r="F41" s="4">
        <v>19.62</v>
      </c>
      <c r="G41" s="3">
        <f t="shared" si="4"/>
        <v>1.0016847909327615</v>
      </c>
      <c r="H41" s="42">
        <f t="shared" si="5"/>
        <v>0.11862459794761841</v>
      </c>
    </row>
    <row r="42" spans="1:13">
      <c r="A42" s="3" t="s">
        <v>441</v>
      </c>
      <c r="B42" s="3" t="s">
        <v>442</v>
      </c>
      <c r="C42" s="4"/>
      <c r="D42" s="4" t="s">
        <v>55</v>
      </c>
      <c r="E42" s="4" t="s">
        <v>19</v>
      </c>
      <c r="F42" s="4">
        <v>19.587</v>
      </c>
      <c r="G42" s="3"/>
      <c r="H42" s="42"/>
    </row>
    <row r="43" spans="1:13">
      <c r="A43" s="3" t="s">
        <v>441</v>
      </c>
      <c r="B43" s="3" t="s">
        <v>443</v>
      </c>
      <c r="C43" s="3" t="s">
        <v>21</v>
      </c>
      <c r="D43" s="4" t="s">
        <v>182</v>
      </c>
      <c r="E43" s="4" t="s">
        <v>17</v>
      </c>
      <c r="F43" s="4">
        <v>20.832000000000001</v>
      </c>
      <c r="G43" s="3">
        <f t="shared" si="4"/>
        <v>1.1220510610793926</v>
      </c>
      <c r="H43" s="42">
        <f t="shared" si="5"/>
        <v>0.3500981943834473</v>
      </c>
      <c r="J43" s="84" t="s">
        <v>441</v>
      </c>
      <c r="K43" s="85" t="s">
        <v>444</v>
      </c>
      <c r="L43" s="86">
        <v>44753</v>
      </c>
      <c r="M43" s="87" t="s">
        <v>24</v>
      </c>
    </row>
    <row r="44" spans="1:13">
      <c r="A44" s="3" t="s">
        <v>441</v>
      </c>
      <c r="B44" s="3" t="s">
        <v>443</v>
      </c>
      <c r="C44" s="4"/>
      <c r="D44" s="4" t="s">
        <v>182</v>
      </c>
      <c r="E44" s="4" t="s">
        <v>19</v>
      </c>
      <c r="F44" s="4">
        <v>18.565999999999999</v>
      </c>
      <c r="G44" s="3"/>
      <c r="H44" s="42"/>
    </row>
    <row r="45" spans="1:13" ht="15.75" customHeight="1">
      <c r="A45" s="3" t="s">
        <v>455</v>
      </c>
      <c r="B45" s="3" t="s">
        <v>456</v>
      </c>
      <c r="C45" s="3" t="s">
        <v>15</v>
      </c>
      <c r="D45" s="4" t="s">
        <v>185</v>
      </c>
      <c r="E45" s="4" t="s">
        <v>17</v>
      </c>
      <c r="F45" s="4">
        <v>17.111999999999998</v>
      </c>
      <c r="G45" s="3">
        <f t="shared" si="4"/>
        <v>0.77813651039061427</v>
      </c>
      <c r="H45" s="41">
        <f t="shared" si="5"/>
        <v>-0.31127594155651089</v>
      </c>
    </row>
    <row r="46" spans="1:13">
      <c r="A46" s="3" t="s">
        <v>455</v>
      </c>
      <c r="B46" s="3" t="s">
        <v>456</v>
      </c>
      <c r="C46" s="4"/>
      <c r="D46" s="4" t="s">
        <v>185</v>
      </c>
      <c r="E46" s="4" t="s">
        <v>19</v>
      </c>
      <c r="F46" s="4">
        <v>21.991</v>
      </c>
      <c r="G46" s="3"/>
      <c r="H46" s="41"/>
    </row>
    <row r="47" spans="1:13">
      <c r="A47" s="4" t="s">
        <v>470</v>
      </c>
      <c r="B47" s="4" t="s">
        <v>474</v>
      </c>
      <c r="C47" s="4" t="s">
        <v>472</v>
      </c>
      <c r="D47" s="4" t="s">
        <v>303</v>
      </c>
      <c r="E47" s="4" t="s">
        <v>17</v>
      </c>
      <c r="F47" s="4">
        <v>19.715</v>
      </c>
      <c r="G47" s="3">
        <f t="shared" ref="G47:G51" si="6">F47/F48</f>
        <v>0.77120168987638871</v>
      </c>
      <c r="H47" s="50">
        <f t="shared" ref="H47:H51" si="7">(G47-0.94)/0.52</f>
        <v>-0.32461213485309853</v>
      </c>
      <c r="I47" s="72" t="s">
        <v>467</v>
      </c>
    </row>
    <row r="48" spans="1:13">
      <c r="A48" s="4" t="s">
        <v>470</v>
      </c>
      <c r="B48" s="4" t="s">
        <v>474</v>
      </c>
      <c r="C48" s="4"/>
      <c r="D48" s="4" t="s">
        <v>303</v>
      </c>
      <c r="E48" s="4" t="s">
        <v>19</v>
      </c>
      <c r="F48" s="4">
        <v>25.564</v>
      </c>
      <c r="G48" s="3"/>
      <c r="H48" s="50"/>
    </row>
    <row r="49" spans="1:13">
      <c r="A49" s="4" t="s">
        <v>470</v>
      </c>
      <c r="B49" s="4" t="s">
        <v>473</v>
      </c>
      <c r="C49" s="4" t="s">
        <v>472</v>
      </c>
      <c r="D49" s="4" t="s">
        <v>223</v>
      </c>
      <c r="E49" s="4" t="s">
        <v>17</v>
      </c>
      <c r="F49" s="4">
        <v>19.611000000000001</v>
      </c>
      <c r="G49" s="3">
        <f t="shared" si="6"/>
        <v>0.75435627187752441</v>
      </c>
      <c r="H49" s="50">
        <f t="shared" si="7"/>
        <v>-0.35700716946629912</v>
      </c>
    </row>
    <row r="50" spans="1:13">
      <c r="A50" s="4" t="s">
        <v>470</v>
      </c>
      <c r="B50" s="4" t="s">
        <v>473</v>
      </c>
      <c r="C50" s="4"/>
      <c r="D50" s="4" t="s">
        <v>223</v>
      </c>
      <c r="E50" s="4" t="s">
        <v>19</v>
      </c>
      <c r="F50" s="4">
        <v>25.997</v>
      </c>
      <c r="G50" s="3"/>
      <c r="H50" s="50"/>
    </row>
    <row r="51" spans="1:13">
      <c r="A51" s="4" t="s">
        <v>470</v>
      </c>
      <c r="B51" s="4" t="s">
        <v>471</v>
      </c>
      <c r="C51" s="4" t="s">
        <v>472</v>
      </c>
      <c r="D51" s="4" t="s">
        <v>89</v>
      </c>
      <c r="E51" s="4" t="s">
        <v>17</v>
      </c>
      <c r="F51" s="4">
        <v>19.96</v>
      </c>
      <c r="G51" s="3">
        <f t="shared" si="6"/>
        <v>0.84017342257018979</v>
      </c>
      <c r="H51" s="50">
        <f t="shared" si="7"/>
        <v>-0.19197418736501953</v>
      </c>
    </row>
    <row r="52" spans="1:13">
      <c r="A52" s="4" t="s">
        <v>470</v>
      </c>
      <c r="B52" s="4" t="s">
        <v>471</v>
      </c>
      <c r="C52" s="4"/>
      <c r="D52" s="4" t="s">
        <v>89</v>
      </c>
      <c r="E52" s="4" t="s">
        <v>19</v>
      </c>
      <c r="F52" s="4">
        <v>23.757000000000001</v>
      </c>
      <c r="G52" s="3"/>
      <c r="H52" s="50"/>
    </row>
    <row r="53" spans="1:13">
      <c r="A53" s="68" t="s">
        <v>425</v>
      </c>
      <c r="B53" s="66" t="s">
        <v>419</v>
      </c>
      <c r="C53" s="66" t="s">
        <v>38</v>
      </c>
      <c r="D53" s="66" t="s">
        <v>68</v>
      </c>
      <c r="E53" s="66" t="s">
        <v>17</v>
      </c>
      <c r="F53" s="66">
        <v>18.091999999999999</v>
      </c>
      <c r="G53" s="66">
        <v>0.85581835399999995</v>
      </c>
      <c r="H53" s="67">
        <v>-0.16200000000000001</v>
      </c>
    </row>
    <row r="54" spans="1:13">
      <c r="A54" s="68" t="s">
        <v>425</v>
      </c>
      <c r="B54" s="66" t="s">
        <v>419</v>
      </c>
      <c r="C54" s="65" t="s">
        <v>29</v>
      </c>
      <c r="D54" s="65" t="s">
        <v>68</v>
      </c>
      <c r="E54" s="65" t="s">
        <v>19</v>
      </c>
      <c r="F54" s="65">
        <v>21.14</v>
      </c>
      <c r="G54" s="65" t="s">
        <v>29</v>
      </c>
      <c r="H54" s="65" t="s">
        <v>29</v>
      </c>
    </row>
    <row r="55" spans="1:13">
      <c r="A55" s="70" t="s">
        <v>425</v>
      </c>
      <c r="B55" s="65" t="s">
        <v>426</v>
      </c>
      <c r="C55" s="65" t="s">
        <v>21</v>
      </c>
      <c r="D55" s="65" t="s">
        <v>71</v>
      </c>
      <c r="E55" s="65" t="s">
        <v>17</v>
      </c>
      <c r="F55" s="65">
        <v>23.402000000000001</v>
      </c>
      <c r="G55" s="65">
        <v>1.350297155</v>
      </c>
      <c r="H55" s="69">
        <v>0.78900000000000003</v>
      </c>
      <c r="J55" s="84" t="s">
        <v>425</v>
      </c>
      <c r="K55" s="85" t="s">
        <v>427</v>
      </c>
      <c r="L55" s="86">
        <v>44753</v>
      </c>
      <c r="M55" s="87" t="s">
        <v>24</v>
      </c>
    </row>
    <row r="56" spans="1:13">
      <c r="A56" s="70" t="s">
        <v>425</v>
      </c>
      <c r="B56" s="65" t="s">
        <v>426</v>
      </c>
      <c r="C56" s="65" t="s">
        <v>29</v>
      </c>
      <c r="D56" s="65" t="s">
        <v>71</v>
      </c>
      <c r="E56" s="65" t="s">
        <v>19</v>
      </c>
      <c r="F56" s="65">
        <v>17.331</v>
      </c>
      <c r="G56" s="65" t="s">
        <v>29</v>
      </c>
      <c r="H56" s="65" t="s">
        <v>29</v>
      </c>
    </row>
    <row r="57" spans="1:13">
      <c r="A57" s="70" t="s">
        <v>429</v>
      </c>
      <c r="B57" s="65" t="s">
        <v>431</v>
      </c>
      <c r="C57" s="65" t="s">
        <v>21</v>
      </c>
      <c r="D57" s="65" t="s">
        <v>74</v>
      </c>
      <c r="E57" s="65" t="s">
        <v>17</v>
      </c>
      <c r="F57" s="65">
        <v>19.827000000000002</v>
      </c>
      <c r="G57" s="65">
        <v>1.093360538</v>
      </c>
      <c r="H57" s="69">
        <v>0.29499999999999998</v>
      </c>
      <c r="J57" s="95" t="s">
        <v>429</v>
      </c>
      <c r="K57" s="96" t="s">
        <v>432</v>
      </c>
      <c r="L57" s="86">
        <v>44753</v>
      </c>
      <c r="M57" s="87" t="s">
        <v>24</v>
      </c>
    </row>
    <row r="58" spans="1:13">
      <c r="A58" s="70" t="s">
        <v>429</v>
      </c>
      <c r="B58" s="65" t="s">
        <v>431</v>
      </c>
      <c r="C58" s="65" t="s">
        <v>29</v>
      </c>
      <c r="D58" s="65" t="s">
        <v>74</v>
      </c>
      <c r="E58" s="65" t="s">
        <v>19</v>
      </c>
      <c r="F58" s="65">
        <v>18.134</v>
      </c>
      <c r="G58" s="65" t="s">
        <v>29</v>
      </c>
      <c r="H58" s="65" t="s">
        <v>29</v>
      </c>
    </row>
    <row r="59" spans="1:13">
      <c r="A59" s="70" t="s">
        <v>434</v>
      </c>
      <c r="B59" s="65" t="s">
        <v>438</v>
      </c>
      <c r="C59" s="65" t="s">
        <v>45</v>
      </c>
      <c r="D59" s="65" t="s">
        <v>81</v>
      </c>
      <c r="E59" s="65" t="s">
        <v>17</v>
      </c>
      <c r="F59" s="65">
        <v>19.844000000000001</v>
      </c>
      <c r="G59" s="65">
        <v>1.1019546870000001</v>
      </c>
      <c r="H59" s="69">
        <v>0.311</v>
      </c>
      <c r="J59" s="80" t="s">
        <v>434</v>
      </c>
      <c r="K59" s="81" t="s">
        <v>439</v>
      </c>
      <c r="L59" s="82">
        <v>44797</v>
      </c>
      <c r="M59" s="83" t="s">
        <v>24</v>
      </c>
    </row>
    <row r="60" spans="1:13">
      <c r="A60" s="70" t="s">
        <v>434</v>
      </c>
      <c r="B60" s="65" t="s">
        <v>438</v>
      </c>
      <c r="C60" s="65" t="s">
        <v>29</v>
      </c>
      <c r="D60" s="65" t="s">
        <v>81</v>
      </c>
      <c r="E60" s="65" t="s">
        <v>19</v>
      </c>
      <c r="F60" s="65">
        <v>18.007999999999999</v>
      </c>
      <c r="G60" s="65" t="s">
        <v>29</v>
      </c>
      <c r="H60" s="65" t="s">
        <v>29</v>
      </c>
    </row>
    <row r="61" spans="1:13">
      <c r="A61" s="70" t="s">
        <v>440</v>
      </c>
      <c r="B61" s="65" t="s">
        <v>437</v>
      </c>
      <c r="C61" s="65" t="s">
        <v>21</v>
      </c>
      <c r="D61" s="65" t="s">
        <v>83</v>
      </c>
      <c r="E61" s="65" t="s">
        <v>17</v>
      </c>
      <c r="F61" s="65">
        <v>19.928999999999998</v>
      </c>
      <c r="G61" s="65">
        <v>0.71550640899999995</v>
      </c>
      <c r="H61" s="67">
        <v>-0.432</v>
      </c>
    </row>
    <row r="62" spans="1:13">
      <c r="A62" s="70" t="s">
        <v>440</v>
      </c>
      <c r="B62" s="65" t="s">
        <v>437</v>
      </c>
      <c r="C62" s="65" t="s">
        <v>29</v>
      </c>
      <c r="D62" s="65" t="s">
        <v>83</v>
      </c>
      <c r="E62" s="65" t="s">
        <v>19</v>
      </c>
      <c r="F62" s="65">
        <v>27.853000000000002</v>
      </c>
      <c r="G62" s="65" t="s">
        <v>29</v>
      </c>
      <c r="H62" s="65" t="s">
        <v>29</v>
      </c>
    </row>
    <row r="63" spans="1:13">
      <c r="A63" s="70" t="s">
        <v>441</v>
      </c>
      <c r="B63" s="65" t="s">
        <v>445</v>
      </c>
      <c r="C63" s="65" t="s">
        <v>45</v>
      </c>
      <c r="D63" s="65" t="s">
        <v>27</v>
      </c>
      <c r="E63" s="65" t="s">
        <v>17</v>
      </c>
      <c r="F63" s="65">
        <v>23.895</v>
      </c>
      <c r="G63" s="65">
        <v>1.4080730699999999</v>
      </c>
      <c r="H63" s="69">
        <v>0.9</v>
      </c>
    </row>
    <row r="64" spans="1:13">
      <c r="A64" s="70" t="s">
        <v>441</v>
      </c>
      <c r="B64" s="65" t="s">
        <v>445</v>
      </c>
      <c r="C64" s="65" t="s">
        <v>29</v>
      </c>
      <c r="D64" s="65" t="s">
        <v>27</v>
      </c>
      <c r="E64" s="65" t="s">
        <v>19</v>
      </c>
      <c r="F64" s="65">
        <v>16.97</v>
      </c>
      <c r="G64" s="65" t="s">
        <v>29</v>
      </c>
      <c r="H64" s="65" t="s">
        <v>29</v>
      </c>
    </row>
    <row r="65" spans="1:13">
      <c r="A65" s="70" t="s">
        <v>455</v>
      </c>
      <c r="B65" s="65" t="s">
        <v>457</v>
      </c>
      <c r="C65" s="65" t="s">
        <v>21</v>
      </c>
      <c r="D65" s="65" t="s">
        <v>31</v>
      </c>
      <c r="E65" s="65" t="s">
        <v>17</v>
      </c>
      <c r="F65" s="65">
        <v>19.91</v>
      </c>
      <c r="G65" s="65">
        <v>0.95290514000000004</v>
      </c>
      <c r="H65" s="69">
        <v>2.5000000000000001E-2</v>
      </c>
      <c r="J65" s="80" t="s">
        <v>455</v>
      </c>
      <c r="K65" s="81" t="s">
        <v>458</v>
      </c>
      <c r="L65" s="82">
        <v>44753</v>
      </c>
      <c r="M65" s="83" t="s">
        <v>24</v>
      </c>
    </row>
    <row r="66" spans="1:13">
      <c r="A66" s="70" t="s">
        <v>455</v>
      </c>
      <c r="B66" s="65" t="s">
        <v>457</v>
      </c>
      <c r="C66" s="65" t="s">
        <v>29</v>
      </c>
      <c r="D66" s="65" t="s">
        <v>31</v>
      </c>
      <c r="E66" s="65" t="s">
        <v>19</v>
      </c>
      <c r="F66" s="65">
        <v>20.893999999999998</v>
      </c>
      <c r="G66" s="65" t="s">
        <v>29</v>
      </c>
      <c r="H66" s="65" t="s">
        <v>29</v>
      </c>
    </row>
    <row r="67" spans="1:13">
      <c r="A67" s="70" t="s">
        <v>461</v>
      </c>
      <c r="B67" s="65" t="s">
        <v>456</v>
      </c>
      <c r="C67" s="65" t="s">
        <v>38</v>
      </c>
      <c r="D67" s="65" t="s">
        <v>34</v>
      </c>
      <c r="E67" s="65" t="s">
        <v>17</v>
      </c>
      <c r="F67" s="65">
        <v>17.600999999999999</v>
      </c>
      <c r="G67" s="65">
        <v>0.84975619199999997</v>
      </c>
      <c r="H67" s="67">
        <v>-0.17399999999999999</v>
      </c>
    </row>
    <row r="68" spans="1:13">
      <c r="A68" s="70" t="s">
        <v>461</v>
      </c>
      <c r="B68" s="65" t="s">
        <v>456</v>
      </c>
      <c r="C68" s="65" t="s">
        <v>29</v>
      </c>
      <c r="D68" s="65" t="s">
        <v>34</v>
      </c>
      <c r="E68" s="65" t="s">
        <v>19</v>
      </c>
      <c r="F68" s="65">
        <v>20.713000000000001</v>
      </c>
      <c r="G68" s="65" t="s">
        <v>29</v>
      </c>
      <c r="H68" s="65" t="s">
        <v>29</v>
      </c>
    </row>
    <row r="69" spans="1:13">
      <c r="A69" s="70" t="s">
        <v>461</v>
      </c>
      <c r="B69" s="65" t="s">
        <v>457</v>
      </c>
      <c r="C69" s="65" t="s">
        <v>21</v>
      </c>
      <c r="D69" s="65" t="s">
        <v>105</v>
      </c>
      <c r="E69" s="65" t="s">
        <v>17</v>
      </c>
      <c r="F69" s="65">
        <v>19.210999999999999</v>
      </c>
      <c r="G69" s="65">
        <v>1.0512750360000001</v>
      </c>
      <c r="H69" s="69">
        <v>0.214</v>
      </c>
      <c r="J69" s="68" t="s">
        <v>461</v>
      </c>
      <c r="K69" s="66" t="s">
        <v>462</v>
      </c>
      <c r="L69" s="86">
        <v>44797</v>
      </c>
      <c r="M69" s="87" t="s">
        <v>24</v>
      </c>
    </row>
    <row r="70" spans="1:13">
      <c r="A70" s="70" t="s">
        <v>461</v>
      </c>
      <c r="B70" s="65" t="s">
        <v>457</v>
      </c>
      <c r="C70" s="65" t="s">
        <v>29</v>
      </c>
      <c r="D70" s="65" t="s">
        <v>105</v>
      </c>
      <c r="E70" s="65" t="s">
        <v>19</v>
      </c>
      <c r="F70" s="65">
        <v>18.274000000000001</v>
      </c>
      <c r="G70" s="65" t="s">
        <v>29</v>
      </c>
      <c r="H70" s="65" t="s">
        <v>29</v>
      </c>
    </row>
    <row r="71" spans="1:13">
      <c r="A71" s="70" t="s">
        <v>461</v>
      </c>
      <c r="B71" s="65" t="s">
        <v>463</v>
      </c>
      <c r="C71" s="65" t="s">
        <v>45</v>
      </c>
      <c r="D71" s="65" t="s">
        <v>59</v>
      </c>
      <c r="E71" s="65" t="s">
        <v>17</v>
      </c>
      <c r="F71" s="65">
        <v>26.577999999999999</v>
      </c>
      <c r="G71" s="65">
        <v>1.5697832380000001</v>
      </c>
      <c r="H71" s="69">
        <v>1.2110000000000001</v>
      </c>
    </row>
    <row r="72" spans="1:13">
      <c r="A72" s="70" t="s">
        <v>461</v>
      </c>
      <c r="B72" s="65" t="s">
        <v>463</v>
      </c>
      <c r="C72" s="65" t="s">
        <v>29</v>
      </c>
      <c r="D72" s="65" t="s">
        <v>59</v>
      </c>
      <c r="E72" s="65" t="s">
        <v>19</v>
      </c>
      <c r="F72" s="65">
        <v>16.931000000000001</v>
      </c>
      <c r="G72" s="65" t="s">
        <v>29</v>
      </c>
      <c r="H72" s="65" t="s">
        <v>29</v>
      </c>
    </row>
    <row r="73" spans="1:13">
      <c r="A73" s="70" t="s">
        <v>470</v>
      </c>
      <c r="B73" s="65" t="s">
        <v>476</v>
      </c>
      <c r="C73" s="65" t="s">
        <v>45</v>
      </c>
      <c r="D73" s="65" t="s">
        <v>49</v>
      </c>
      <c r="E73" s="65" t="s">
        <v>17</v>
      </c>
      <c r="F73" s="65">
        <v>18.992000000000001</v>
      </c>
      <c r="G73" s="65">
        <v>0.79993260899999996</v>
      </c>
      <c r="H73" s="67">
        <v>-0.26900000000000002</v>
      </c>
    </row>
    <row r="74" spans="1:13">
      <c r="A74" s="70" t="s">
        <v>470</v>
      </c>
      <c r="B74" s="65" t="s">
        <v>476</v>
      </c>
      <c r="C74" s="65" t="s">
        <v>29</v>
      </c>
      <c r="D74" s="65" t="s">
        <v>49</v>
      </c>
      <c r="E74" s="65" t="s">
        <v>19</v>
      </c>
      <c r="F74" s="65">
        <v>23.742000000000001</v>
      </c>
      <c r="G74" s="65" t="s">
        <v>29</v>
      </c>
      <c r="H74" s="65" t="s">
        <v>29</v>
      </c>
    </row>
    <row r="75" spans="1:13">
      <c r="A75" s="70"/>
      <c r="B75" s="65"/>
      <c r="C75" s="65"/>
      <c r="D75" s="65"/>
      <c r="E75" s="65"/>
      <c r="F75" s="65"/>
      <c r="G75" s="65"/>
      <c r="H75" s="65"/>
      <c r="J75" s="68" t="s">
        <v>470</v>
      </c>
      <c r="K75" s="66" t="s">
        <v>475</v>
      </c>
      <c r="L75" s="86">
        <v>44797</v>
      </c>
      <c r="M75" s="87" t="s">
        <v>24</v>
      </c>
    </row>
    <row r="76" spans="1:13">
      <c r="A76" s="70"/>
      <c r="B76" s="65"/>
      <c r="C76" s="65"/>
      <c r="D76" s="65"/>
      <c r="E76" s="65"/>
      <c r="F76" s="65"/>
      <c r="G76" s="65"/>
      <c r="H76" s="65"/>
    </row>
    <row r="77" spans="1:13">
      <c r="A77" s="70" t="s">
        <v>359</v>
      </c>
      <c r="B77" s="65" t="s">
        <v>360</v>
      </c>
      <c r="C77" s="65" t="s">
        <v>45</v>
      </c>
      <c r="D77" s="65" t="s">
        <v>52</v>
      </c>
      <c r="E77" s="65" t="s">
        <v>17</v>
      </c>
      <c r="F77" s="65">
        <v>19.483000000000001</v>
      </c>
      <c r="G77" s="65">
        <v>0.60214488799999999</v>
      </c>
      <c r="H77" s="67">
        <v>-0.65</v>
      </c>
    </row>
    <row r="78" spans="1:13">
      <c r="A78" s="70" t="s">
        <v>359</v>
      </c>
      <c r="B78" s="65" t="s">
        <v>360</v>
      </c>
      <c r="C78" s="65" t="s">
        <v>29</v>
      </c>
      <c r="D78" s="65" t="s">
        <v>52</v>
      </c>
      <c r="E78" s="65" t="s">
        <v>19</v>
      </c>
      <c r="F78" s="65">
        <v>32.356000000000002</v>
      </c>
      <c r="G78" s="65" t="s">
        <v>29</v>
      </c>
      <c r="H78" s="65" t="s">
        <v>29</v>
      </c>
    </row>
    <row r="79" spans="1:13">
      <c r="A79" s="70" t="s">
        <v>359</v>
      </c>
      <c r="B79" s="65" t="s">
        <v>361</v>
      </c>
      <c r="C79" s="65" t="s">
        <v>45</v>
      </c>
      <c r="D79" s="65" t="s">
        <v>55</v>
      </c>
      <c r="E79" s="65" t="s">
        <v>17</v>
      </c>
      <c r="F79" s="65">
        <v>22.364000000000001</v>
      </c>
      <c r="G79" s="65">
        <v>1.351299094</v>
      </c>
      <c r="H79" s="69">
        <v>0.79100000000000004</v>
      </c>
    </row>
    <row r="80" spans="1:13">
      <c r="A80" s="70" t="s">
        <v>359</v>
      </c>
      <c r="B80" s="65" t="s">
        <v>361</v>
      </c>
      <c r="C80" s="65" t="s">
        <v>29</v>
      </c>
      <c r="D80" s="65" t="s">
        <v>55</v>
      </c>
      <c r="E80" s="65" t="s">
        <v>19</v>
      </c>
      <c r="F80" s="65">
        <v>16.55</v>
      </c>
      <c r="G80" s="65" t="s">
        <v>29</v>
      </c>
      <c r="H80" s="65" t="s">
        <v>29</v>
      </c>
    </row>
    <row r="82" spans="1:8">
      <c r="B82" s="70"/>
      <c r="C82" s="65"/>
    </row>
    <row r="85" spans="1:8">
      <c r="A85" s="70" t="s">
        <v>399</v>
      </c>
      <c r="B85" s="65" t="s">
        <v>400</v>
      </c>
      <c r="C85" s="65" t="s">
        <v>38</v>
      </c>
      <c r="D85" s="65" t="s">
        <v>305</v>
      </c>
      <c r="E85" s="65" t="s">
        <v>17</v>
      </c>
      <c r="F85" s="65">
        <v>20.779</v>
      </c>
      <c r="G85" s="65">
        <v>0.97875647700000001</v>
      </c>
      <c r="H85" s="69">
        <v>7.4999999999999997E-2</v>
      </c>
    </row>
    <row r="86" spans="1:8">
      <c r="A86" s="70" t="s">
        <v>399</v>
      </c>
      <c r="B86" s="65" t="s">
        <v>400</v>
      </c>
      <c r="C86" s="65" t="s">
        <v>29</v>
      </c>
      <c r="D86" s="65" t="s">
        <v>305</v>
      </c>
      <c r="E86" s="65" t="s">
        <v>19</v>
      </c>
      <c r="F86" s="65">
        <v>21.23</v>
      </c>
      <c r="G86" s="65" t="s">
        <v>29</v>
      </c>
      <c r="H86" s="65" t="s">
        <v>29</v>
      </c>
    </row>
    <row r="87" spans="1:8">
      <c r="A87" s="70" t="s">
        <v>399</v>
      </c>
      <c r="B87" s="65" t="s">
        <v>401</v>
      </c>
      <c r="C87" s="65" t="s">
        <v>21</v>
      </c>
      <c r="D87" s="65" t="s">
        <v>306</v>
      </c>
      <c r="E87" s="65" t="s">
        <v>17</v>
      </c>
      <c r="F87" s="65">
        <v>24.018999999999998</v>
      </c>
      <c r="G87" s="65">
        <v>1.2871228770000001</v>
      </c>
      <c r="H87" s="69">
        <v>0.66800000000000004</v>
      </c>
    </row>
    <row r="88" spans="1:8">
      <c r="A88" s="70" t="s">
        <v>399</v>
      </c>
      <c r="B88" s="65" t="s">
        <v>401</v>
      </c>
      <c r="C88" s="65" t="s">
        <v>29</v>
      </c>
      <c r="D88" s="65" t="s">
        <v>306</v>
      </c>
      <c r="E88" s="65" t="s">
        <v>19</v>
      </c>
      <c r="F88" s="65">
        <v>18.661000000000001</v>
      </c>
      <c r="G88" s="65" t="s">
        <v>29</v>
      </c>
      <c r="H88" s="65" t="s">
        <v>29</v>
      </c>
    </row>
    <row r="89" spans="1:8">
      <c r="A89" s="70" t="s">
        <v>399</v>
      </c>
      <c r="B89" s="65" t="s">
        <v>402</v>
      </c>
      <c r="C89" s="65" t="s">
        <v>45</v>
      </c>
      <c r="D89" s="65" t="s">
        <v>307</v>
      </c>
      <c r="E89" s="65" t="s">
        <v>17</v>
      </c>
      <c r="F89" s="65">
        <v>25.693999999999999</v>
      </c>
      <c r="G89" s="65">
        <v>1.59105827</v>
      </c>
      <c r="H89" s="69">
        <v>1.252</v>
      </c>
    </row>
    <row r="90" spans="1:8">
      <c r="A90" s="70" t="s">
        <v>399</v>
      </c>
      <c r="B90" s="65" t="s">
        <v>402</v>
      </c>
      <c r="C90" s="65" t="s">
        <v>29</v>
      </c>
      <c r="D90" s="65" t="s">
        <v>307</v>
      </c>
      <c r="E90" s="65" t="s">
        <v>19</v>
      </c>
      <c r="F90" s="65">
        <v>16.149000000000001</v>
      </c>
      <c r="G90" s="65" t="s">
        <v>29</v>
      </c>
      <c r="H90" s="65" t="s">
        <v>29</v>
      </c>
    </row>
  </sheetData>
  <pageMargins left="0.7" right="0.7" top="0.75" bottom="0.75" header="0.3" footer="0.3"/>
  <pageSetup scale="73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19A3-5F8D-4D5A-8894-56A6397AD34C}">
  <dimension ref="A1:L441"/>
  <sheetViews>
    <sheetView workbookViewId="0">
      <selection activeCell="E419" sqref="E419"/>
    </sheetView>
  </sheetViews>
  <sheetFormatPr baseColWidth="10" defaultColWidth="8.83203125" defaultRowHeight="16"/>
  <cols>
    <col min="1" max="1" width="12.6640625" style="51" bestFit="1" customWidth="1"/>
    <col min="2" max="2" width="14.83203125" style="51" bestFit="1" customWidth="1"/>
    <col min="3" max="3" width="19" style="51" bestFit="1" customWidth="1"/>
    <col min="4" max="4" width="13.33203125" style="51" bestFit="1" customWidth="1"/>
    <col min="5" max="5" width="16.83203125" style="51" bestFit="1" customWidth="1"/>
    <col min="6" max="6" width="20.1640625" style="51" bestFit="1" customWidth="1"/>
    <col min="7" max="7" width="18.33203125" style="51" bestFit="1" customWidth="1"/>
    <col min="8" max="8" width="12.1640625" bestFit="1" customWidth="1"/>
    <col min="9" max="9" width="11.6640625" bestFit="1" customWidth="1"/>
    <col min="11" max="11" width="17.33203125" bestFit="1" customWidth="1"/>
  </cols>
  <sheetData>
    <row r="1" spans="1:12">
      <c r="A1" s="121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9" t="s">
        <v>6</v>
      </c>
      <c r="G1" s="75" t="s">
        <v>7</v>
      </c>
      <c r="H1" s="73" t="s">
        <v>8</v>
      </c>
      <c r="I1" s="397" t="s">
        <v>9</v>
      </c>
      <c r="J1" s="397" t="s">
        <v>10</v>
      </c>
      <c r="K1" s="397" t="s">
        <v>11</v>
      </c>
      <c r="L1" s="397" t="s">
        <v>12</v>
      </c>
    </row>
    <row r="2" spans="1:12">
      <c r="A2" s="394"/>
      <c r="B2" s="394"/>
      <c r="C2" s="394"/>
      <c r="D2" s="394"/>
      <c r="E2" s="394"/>
      <c r="F2" s="394"/>
      <c r="G2" s="395"/>
      <c r="I2" s="322"/>
      <c r="J2" s="322"/>
      <c r="K2" s="322"/>
      <c r="L2" s="322"/>
    </row>
    <row r="3" spans="1:12">
      <c r="A3" s="394"/>
      <c r="B3" s="394"/>
      <c r="C3" s="394"/>
      <c r="D3" s="394"/>
      <c r="E3" s="394"/>
      <c r="F3" s="394"/>
      <c r="G3" s="395"/>
      <c r="I3" s="322"/>
      <c r="J3" s="322"/>
      <c r="K3" s="322"/>
      <c r="L3" s="322"/>
    </row>
    <row r="4" spans="1:12">
      <c r="A4" s="394"/>
      <c r="B4" s="394"/>
      <c r="C4" s="394"/>
      <c r="D4" s="394"/>
      <c r="E4" s="394"/>
      <c r="F4" s="394"/>
      <c r="G4" s="395"/>
      <c r="I4" s="322"/>
      <c r="J4" s="322"/>
      <c r="K4" s="322"/>
      <c r="L4" s="322"/>
    </row>
    <row r="5" spans="1:12">
      <c r="A5" s="394"/>
      <c r="B5" s="394"/>
      <c r="C5" s="394"/>
      <c r="D5" s="394"/>
      <c r="E5" s="394"/>
      <c r="F5" s="394"/>
      <c r="G5" s="395"/>
      <c r="I5" s="322"/>
      <c r="J5" s="322"/>
      <c r="K5" s="322"/>
      <c r="L5" s="322"/>
    </row>
    <row r="6" spans="1:12">
      <c r="A6" s="394"/>
      <c r="B6" s="394"/>
      <c r="C6" s="394"/>
      <c r="D6" s="394"/>
      <c r="E6" s="394"/>
      <c r="F6" s="394"/>
      <c r="G6" s="395"/>
      <c r="I6" s="322"/>
      <c r="J6" s="322"/>
      <c r="K6" s="322"/>
      <c r="L6" s="322"/>
    </row>
    <row r="7" spans="1:12">
      <c r="A7" s="394"/>
      <c r="B7" s="394"/>
      <c r="C7" s="394"/>
      <c r="D7" s="394"/>
      <c r="E7" s="394"/>
      <c r="F7" s="394"/>
      <c r="G7" s="395"/>
      <c r="I7" s="322"/>
      <c r="J7" s="322"/>
      <c r="K7" s="322"/>
      <c r="L7" s="322"/>
    </row>
    <row r="8" spans="1:12">
      <c r="A8" s="394"/>
      <c r="B8" s="394"/>
      <c r="C8" s="394"/>
      <c r="D8" s="394"/>
      <c r="E8" s="394"/>
      <c r="F8" s="394"/>
      <c r="G8" s="395"/>
      <c r="I8" s="322"/>
      <c r="J8" s="322"/>
      <c r="K8" s="322"/>
      <c r="L8" s="322"/>
    </row>
    <row r="9" spans="1:12">
      <c r="A9" s="394"/>
      <c r="B9" s="394"/>
      <c r="C9" s="394"/>
      <c r="D9" s="394"/>
      <c r="E9" s="394"/>
      <c r="F9" s="394"/>
      <c r="G9" s="395"/>
      <c r="I9" s="322"/>
      <c r="J9" s="322"/>
      <c r="K9" s="322"/>
      <c r="L9" s="322"/>
    </row>
    <row r="10" spans="1:12">
      <c r="A10" s="394"/>
      <c r="B10" s="394"/>
      <c r="C10" s="394"/>
      <c r="D10" s="394"/>
      <c r="E10" s="394"/>
      <c r="F10" s="394"/>
      <c r="G10" s="395"/>
      <c r="I10" s="322"/>
      <c r="J10" s="322"/>
      <c r="K10" s="322"/>
      <c r="L10" s="322"/>
    </row>
    <row r="11" spans="1:12">
      <c r="A11" s="394"/>
      <c r="B11" s="394"/>
      <c r="C11" s="394"/>
      <c r="D11" s="394"/>
      <c r="E11" s="394"/>
      <c r="F11" s="394"/>
      <c r="G11" s="395"/>
      <c r="I11" s="322"/>
      <c r="J11" s="322"/>
      <c r="K11" s="322"/>
      <c r="L11" s="322"/>
    </row>
    <row r="12" spans="1:12">
      <c r="A12" s="394"/>
      <c r="B12" s="394"/>
      <c r="C12" s="394"/>
      <c r="D12" s="394"/>
      <c r="E12" s="394"/>
      <c r="F12" s="394"/>
      <c r="G12" s="395"/>
      <c r="I12" s="322"/>
      <c r="J12" s="322"/>
      <c r="K12" s="322"/>
      <c r="L12" s="322"/>
    </row>
    <row r="13" spans="1:12">
      <c r="A13" s="394"/>
      <c r="B13" s="394"/>
      <c r="C13" s="394"/>
      <c r="D13" s="394"/>
      <c r="E13" s="394"/>
      <c r="F13" s="394"/>
      <c r="G13" s="395"/>
      <c r="I13" s="322"/>
      <c r="J13" s="322"/>
      <c r="K13" s="322"/>
      <c r="L13" s="322"/>
    </row>
    <row r="14" spans="1:12">
      <c r="A14" s="394"/>
      <c r="B14" s="394"/>
      <c r="C14" s="394"/>
      <c r="D14" s="394"/>
      <c r="E14" s="394"/>
      <c r="F14" s="394"/>
      <c r="G14" s="395"/>
      <c r="I14" s="322"/>
      <c r="J14" s="322"/>
      <c r="K14" s="322"/>
      <c r="L14" s="322"/>
    </row>
    <row r="15" spans="1:12">
      <c r="A15" s="394"/>
      <c r="B15" s="394"/>
      <c r="C15" s="394"/>
      <c r="D15" s="394"/>
      <c r="E15" s="394"/>
      <c r="F15" s="394"/>
      <c r="G15" s="395"/>
      <c r="I15" s="322"/>
      <c r="J15" s="322"/>
      <c r="K15" s="322"/>
      <c r="L15" s="322"/>
    </row>
    <row r="16" spans="1:12">
      <c r="A16" s="394"/>
      <c r="B16" s="394"/>
      <c r="C16" s="394"/>
      <c r="D16" s="394"/>
      <c r="E16" s="394"/>
      <c r="F16" s="394"/>
      <c r="G16" s="395"/>
      <c r="I16" s="322"/>
      <c r="J16" s="322"/>
      <c r="K16" s="322"/>
      <c r="L16" s="322"/>
    </row>
    <row r="17" spans="1:12">
      <c r="A17" s="394"/>
      <c r="B17" s="394"/>
      <c r="C17" s="394"/>
      <c r="D17" s="394"/>
      <c r="E17" s="394"/>
      <c r="F17" s="394"/>
      <c r="G17" s="395"/>
      <c r="I17" s="322"/>
      <c r="J17" s="322"/>
      <c r="K17" s="322"/>
      <c r="L17" s="322"/>
    </row>
    <row r="18" spans="1:12">
      <c r="A18" s="394"/>
      <c r="B18" s="394"/>
      <c r="C18" s="394"/>
      <c r="D18" s="394"/>
      <c r="E18" s="394"/>
      <c r="F18" s="394"/>
      <c r="G18" s="395"/>
      <c r="I18" s="322"/>
      <c r="J18" s="322"/>
      <c r="K18" s="322"/>
      <c r="L18" s="322"/>
    </row>
    <row r="19" spans="1:12">
      <c r="A19" s="394"/>
      <c r="B19" s="394"/>
      <c r="C19" s="394"/>
      <c r="D19" s="394"/>
      <c r="E19" s="394"/>
      <c r="F19" s="394"/>
      <c r="G19" s="395"/>
      <c r="I19" s="322"/>
      <c r="J19" s="322"/>
      <c r="K19" s="322"/>
      <c r="L19" s="322"/>
    </row>
    <row r="20" spans="1:12">
      <c r="A20" s="394"/>
      <c r="B20" s="394"/>
      <c r="C20" s="394"/>
      <c r="D20" s="394"/>
      <c r="E20" s="394"/>
      <c r="F20" s="394"/>
      <c r="G20" s="395"/>
      <c r="I20" s="322"/>
      <c r="J20" s="322"/>
      <c r="K20" s="322"/>
      <c r="L20" s="322"/>
    </row>
    <row r="21" spans="1:12">
      <c r="A21" s="394"/>
      <c r="B21" s="394"/>
      <c r="C21" s="394"/>
      <c r="D21" s="394"/>
      <c r="E21" s="394"/>
      <c r="F21" s="394"/>
      <c r="G21" s="395"/>
      <c r="I21" s="322"/>
      <c r="J21" s="322"/>
      <c r="K21" s="322"/>
      <c r="L21" s="322"/>
    </row>
    <row r="22" spans="1:12">
      <c r="A22" s="394"/>
      <c r="B22" s="394"/>
      <c r="C22" s="394"/>
      <c r="D22" s="394"/>
      <c r="E22" s="394"/>
      <c r="F22" s="394"/>
      <c r="G22" s="395"/>
      <c r="I22" s="322"/>
      <c r="J22" s="322"/>
      <c r="K22" s="322"/>
      <c r="L22" s="322"/>
    </row>
    <row r="23" spans="1:12">
      <c r="A23" s="394"/>
      <c r="B23" s="394"/>
      <c r="C23" s="394"/>
      <c r="D23" s="394"/>
      <c r="E23" s="394"/>
      <c r="F23" s="394"/>
      <c r="G23" s="395"/>
      <c r="I23" s="322"/>
      <c r="J23" s="322"/>
      <c r="K23" s="322"/>
      <c r="L23" s="322"/>
    </row>
    <row r="24" spans="1:12">
      <c r="A24" s="394"/>
      <c r="B24" s="394"/>
      <c r="C24" s="394"/>
      <c r="D24" s="394"/>
      <c r="E24" s="394"/>
      <c r="F24" s="394"/>
      <c r="G24" s="395"/>
      <c r="I24" s="322"/>
      <c r="J24" s="322"/>
      <c r="K24" s="322"/>
      <c r="L24" s="322"/>
    </row>
    <row r="25" spans="1:12">
      <c r="A25" s="394"/>
      <c r="B25" s="394"/>
      <c r="C25" s="394"/>
      <c r="D25" s="394"/>
      <c r="E25" s="394"/>
      <c r="F25" s="394"/>
      <c r="G25" s="395"/>
      <c r="I25" s="322"/>
      <c r="J25" s="322"/>
      <c r="K25" s="322"/>
      <c r="L25" s="322"/>
    </row>
    <row r="26" spans="1:12">
      <c r="A26" s="394"/>
      <c r="B26" s="394"/>
      <c r="C26" s="394"/>
      <c r="D26" s="394"/>
      <c r="E26" s="394"/>
      <c r="F26" s="394"/>
      <c r="G26" s="395"/>
      <c r="I26" s="322"/>
      <c r="J26" s="322"/>
      <c r="K26" s="322"/>
      <c r="L26" s="322"/>
    </row>
    <row r="27" spans="1:12">
      <c r="A27" s="394"/>
      <c r="B27" s="394"/>
      <c r="C27" s="394"/>
      <c r="D27" s="394"/>
      <c r="E27" s="394"/>
      <c r="F27" s="394"/>
      <c r="G27" s="395"/>
      <c r="I27" s="322"/>
      <c r="J27" s="322"/>
      <c r="K27" s="322"/>
      <c r="L27" s="322"/>
    </row>
    <row r="28" spans="1:12">
      <c r="A28" s="394"/>
      <c r="B28" s="394"/>
      <c r="C28" s="394"/>
      <c r="D28" s="394"/>
      <c r="E28" s="394"/>
      <c r="F28" s="394"/>
      <c r="G28" s="395"/>
      <c r="I28" s="322"/>
      <c r="J28" s="322"/>
      <c r="K28" s="322"/>
      <c r="L28" s="322"/>
    </row>
    <row r="29" spans="1:12">
      <c r="A29" s="394"/>
      <c r="B29" s="394"/>
      <c r="C29" s="394"/>
      <c r="D29" s="394"/>
      <c r="E29" s="394"/>
      <c r="F29" s="394"/>
      <c r="G29" s="395"/>
      <c r="I29" s="322"/>
      <c r="J29" s="322"/>
      <c r="K29" s="322"/>
      <c r="L29" s="322"/>
    </row>
    <row r="30" spans="1:12">
      <c r="A30" s="394"/>
      <c r="B30" s="394"/>
      <c r="C30" s="394"/>
      <c r="D30" s="394"/>
      <c r="E30" s="394"/>
      <c r="F30" s="394"/>
      <c r="G30" s="395"/>
      <c r="I30" s="322"/>
      <c r="J30" s="322"/>
      <c r="K30" s="322"/>
      <c r="L30" s="322"/>
    </row>
    <row r="31" spans="1:12">
      <c r="A31" s="394"/>
      <c r="B31" s="394"/>
      <c r="C31" s="394"/>
      <c r="D31" s="394"/>
      <c r="E31" s="394"/>
      <c r="F31" s="394"/>
      <c r="G31" s="395"/>
      <c r="I31" s="322"/>
      <c r="J31" s="322"/>
      <c r="K31" s="322"/>
      <c r="L31" s="322"/>
    </row>
    <row r="32" spans="1:12">
      <c r="A32" s="394"/>
      <c r="B32" s="394"/>
      <c r="C32" s="394"/>
      <c r="D32" s="394"/>
      <c r="E32" s="394"/>
      <c r="F32" s="394"/>
      <c r="G32" s="395"/>
      <c r="I32" s="322"/>
      <c r="J32" s="322"/>
      <c r="K32" s="322"/>
      <c r="L32" s="322"/>
    </row>
    <row r="33" spans="1:12">
      <c r="A33" s="394"/>
      <c r="B33" s="394"/>
      <c r="C33" s="394"/>
      <c r="D33" s="394"/>
      <c r="E33" s="394"/>
      <c r="F33" s="394"/>
      <c r="G33" s="395"/>
      <c r="I33" s="322"/>
      <c r="J33" s="322"/>
      <c r="K33" s="322"/>
      <c r="L33" s="322"/>
    </row>
    <row r="34" spans="1:12">
      <c r="A34" s="394"/>
      <c r="B34" s="394"/>
      <c r="C34" s="394"/>
      <c r="D34" s="394"/>
      <c r="E34" s="394"/>
      <c r="F34" s="394"/>
      <c r="G34" s="395"/>
      <c r="I34" s="322"/>
      <c r="J34" s="322"/>
      <c r="K34" s="322"/>
      <c r="L34" s="322"/>
    </row>
    <row r="35" spans="1:12">
      <c r="A35" s="394"/>
      <c r="B35" s="394"/>
      <c r="C35" s="394"/>
      <c r="D35" s="394"/>
      <c r="E35" s="394"/>
      <c r="F35" s="394"/>
      <c r="G35" s="395"/>
      <c r="I35" s="322"/>
      <c r="J35" s="322"/>
      <c r="K35" s="322"/>
      <c r="L35" s="322"/>
    </row>
    <row r="36" spans="1:12">
      <c r="A36" s="394"/>
      <c r="B36" s="394"/>
      <c r="C36" s="394"/>
      <c r="D36" s="394"/>
      <c r="E36" s="394"/>
      <c r="F36" s="394"/>
      <c r="G36" s="395"/>
      <c r="I36" s="322"/>
      <c r="J36" s="322"/>
      <c r="K36" s="322"/>
      <c r="L36" s="322"/>
    </row>
    <row r="37" spans="1:12">
      <c r="A37" s="303" t="s">
        <v>1098</v>
      </c>
      <c r="B37" s="66" t="s">
        <v>1099</v>
      </c>
      <c r="C37" s="66" t="s">
        <v>38</v>
      </c>
      <c r="D37" s="66" t="s">
        <v>312</v>
      </c>
      <c r="E37" s="66">
        <v>16.09</v>
      </c>
      <c r="F37" s="66">
        <v>0.73722794999999997</v>
      </c>
      <c r="G37" s="247">
        <v>-0.39</v>
      </c>
      <c r="H37" s="97" t="s">
        <v>224</v>
      </c>
    </row>
    <row r="38" spans="1:12">
      <c r="A38" s="304" t="s">
        <v>29</v>
      </c>
      <c r="B38" s="65" t="s">
        <v>29</v>
      </c>
      <c r="C38" s="65" t="s">
        <v>29</v>
      </c>
      <c r="D38" s="65" t="s">
        <v>312</v>
      </c>
      <c r="E38" s="65">
        <v>21.824999999999999</v>
      </c>
      <c r="F38" s="65" t="s">
        <v>29</v>
      </c>
      <c r="G38" s="65" t="s">
        <v>29</v>
      </c>
      <c r="H38" s="97"/>
    </row>
    <row r="39" spans="1:12">
      <c r="A39" s="268" t="s">
        <v>1100</v>
      </c>
      <c r="B39" s="269" t="s">
        <v>1101</v>
      </c>
      <c r="C39" s="269" t="s">
        <v>45</v>
      </c>
      <c r="D39" s="66" t="s">
        <v>180</v>
      </c>
      <c r="E39" s="66">
        <v>21.715</v>
      </c>
      <c r="F39" s="66">
        <v>0.73250126500000001</v>
      </c>
      <c r="G39" s="247">
        <v>-0.39900000000000002</v>
      </c>
    </row>
    <row r="40" spans="1:12">
      <c r="A40" s="70" t="s">
        <v>29</v>
      </c>
      <c r="B40" s="65" t="s">
        <v>29</v>
      </c>
      <c r="C40" s="65" t="s">
        <v>29</v>
      </c>
      <c r="D40" s="65" t="s">
        <v>180</v>
      </c>
      <c r="E40" s="65">
        <v>29.645</v>
      </c>
      <c r="F40" s="65" t="s">
        <v>29</v>
      </c>
      <c r="G40" s="65" t="s">
        <v>29</v>
      </c>
    </row>
    <row r="41" spans="1:12" s="122" customFormat="1">
      <c r="A41" s="126"/>
      <c r="B41" s="126"/>
      <c r="C41" s="126"/>
      <c r="D41" s="126"/>
      <c r="E41" s="126"/>
      <c r="F41" s="126"/>
      <c r="G41" s="126"/>
      <c r="I41"/>
      <c r="J41"/>
      <c r="K41"/>
      <c r="L41"/>
    </row>
    <row r="42" spans="1:12">
      <c r="A42" s="268" t="s">
        <v>1102</v>
      </c>
      <c r="B42" s="269" t="s">
        <v>1103</v>
      </c>
      <c r="C42" s="269" t="s">
        <v>45</v>
      </c>
      <c r="D42" s="66" t="s">
        <v>242</v>
      </c>
      <c r="E42" s="66">
        <v>17.529</v>
      </c>
      <c r="F42" s="66">
        <v>0.75328749500000003</v>
      </c>
      <c r="G42" s="247">
        <v>-0.35899999999999999</v>
      </c>
    </row>
    <row r="43" spans="1:12">
      <c r="A43" s="70" t="s">
        <v>29</v>
      </c>
      <c r="B43" s="65" t="s">
        <v>29</v>
      </c>
      <c r="C43" s="65" t="s">
        <v>29</v>
      </c>
      <c r="D43" s="65" t="s">
        <v>242</v>
      </c>
      <c r="E43" s="65">
        <v>23.27</v>
      </c>
      <c r="F43" s="65" t="s">
        <v>29</v>
      </c>
      <c r="G43" s="65" t="s">
        <v>29</v>
      </c>
    </row>
    <row r="44" spans="1:12" s="122" customFormat="1">
      <c r="A44" s="126"/>
      <c r="B44" s="126"/>
      <c r="C44" s="126"/>
      <c r="D44" s="126"/>
      <c r="E44" s="126"/>
      <c r="F44" s="126"/>
      <c r="G44" s="126"/>
      <c r="I44"/>
      <c r="J44"/>
      <c r="K44"/>
      <c r="L44"/>
    </row>
    <row r="45" spans="1:12">
      <c r="A45" s="268" t="s">
        <v>1104</v>
      </c>
      <c r="B45" s="269" t="s">
        <v>1105</v>
      </c>
      <c r="C45" s="269" t="s">
        <v>45</v>
      </c>
      <c r="D45" s="66" t="s">
        <v>281</v>
      </c>
      <c r="E45" s="66">
        <v>16.751000000000001</v>
      </c>
      <c r="F45" s="66">
        <v>0.57065476599999998</v>
      </c>
      <c r="G45" s="247">
        <v>-0.71</v>
      </c>
    </row>
    <row r="46" spans="1:12">
      <c r="A46" s="70" t="s">
        <v>29</v>
      </c>
      <c r="B46" s="65" t="s">
        <v>29</v>
      </c>
      <c r="C46" s="65" t="s">
        <v>29</v>
      </c>
      <c r="D46" s="65" t="s">
        <v>281</v>
      </c>
      <c r="E46" s="65">
        <v>29.353999999999999</v>
      </c>
      <c r="F46" s="65" t="s">
        <v>29</v>
      </c>
      <c r="G46" s="65" t="s">
        <v>29</v>
      </c>
    </row>
    <row r="49" spans="1:12" s="122" customFormat="1">
      <c r="A49" s="126"/>
      <c r="B49" s="126"/>
      <c r="C49" s="126"/>
      <c r="D49" s="126"/>
      <c r="E49" s="126"/>
      <c r="F49" s="126"/>
      <c r="G49" s="126"/>
      <c r="I49"/>
      <c r="J49"/>
      <c r="K49"/>
      <c r="L49"/>
    </row>
    <row r="50" spans="1:12">
      <c r="A50" s="268" t="s">
        <v>1106</v>
      </c>
      <c r="B50" s="269" t="s">
        <v>1107</v>
      </c>
      <c r="C50" s="269" t="s">
        <v>38</v>
      </c>
      <c r="D50" s="66" t="s">
        <v>16</v>
      </c>
      <c r="E50" s="66">
        <v>16.73</v>
      </c>
      <c r="F50" s="66">
        <v>0.695229388</v>
      </c>
      <c r="G50" s="247">
        <v>-0.47099999999999997</v>
      </c>
    </row>
    <row r="51" spans="1:12">
      <c r="A51" s="70" t="s">
        <v>29</v>
      </c>
      <c r="B51" s="65" t="s">
        <v>29</v>
      </c>
      <c r="C51" s="65" t="s">
        <v>29</v>
      </c>
      <c r="D51" s="65" t="s">
        <v>16</v>
      </c>
      <c r="E51" s="65">
        <v>24.064</v>
      </c>
      <c r="F51" s="65" t="s">
        <v>29</v>
      </c>
      <c r="G51" s="65" t="s">
        <v>29</v>
      </c>
    </row>
    <row r="52" spans="1:12">
      <c r="A52" s="270" t="s">
        <v>1106</v>
      </c>
      <c r="B52" s="271" t="s">
        <v>1108</v>
      </c>
      <c r="C52" s="271" t="s">
        <v>21</v>
      </c>
      <c r="D52" s="65" t="s">
        <v>22</v>
      </c>
      <c r="E52" s="65">
        <v>16.436</v>
      </c>
      <c r="F52" s="65">
        <v>0.61198197899999995</v>
      </c>
      <c r="G52" s="247">
        <v>-0.63100000000000001</v>
      </c>
    </row>
    <row r="53" spans="1:12">
      <c r="A53" s="70" t="s">
        <v>29</v>
      </c>
      <c r="B53" s="65" t="s">
        <v>29</v>
      </c>
      <c r="C53" s="65" t="s">
        <v>29</v>
      </c>
      <c r="D53" s="65" t="s">
        <v>22</v>
      </c>
      <c r="E53" s="65">
        <v>26.856999999999999</v>
      </c>
      <c r="F53" s="65" t="s">
        <v>29</v>
      </c>
      <c r="G53" s="65" t="s">
        <v>29</v>
      </c>
    </row>
    <row r="54" spans="1:12">
      <c r="A54" s="270" t="s">
        <v>1106</v>
      </c>
      <c r="B54" s="271" t="s">
        <v>1109</v>
      </c>
      <c r="C54" s="271" t="s">
        <v>45</v>
      </c>
      <c r="D54" s="65" t="s">
        <v>335</v>
      </c>
      <c r="E54" s="65">
        <v>16.356999999999999</v>
      </c>
      <c r="F54" s="65">
        <v>0.60085222100000002</v>
      </c>
      <c r="G54" s="247">
        <v>-0.65200000000000002</v>
      </c>
    </row>
    <row r="55" spans="1:12">
      <c r="A55" s="70" t="s">
        <v>29</v>
      </c>
      <c r="B55" s="65" t="s">
        <v>29</v>
      </c>
      <c r="C55" s="65" t="s">
        <v>29</v>
      </c>
      <c r="D55" s="65" t="s">
        <v>335</v>
      </c>
      <c r="E55" s="65">
        <v>27.222999999999999</v>
      </c>
      <c r="F55" s="65" t="s">
        <v>29</v>
      </c>
      <c r="G55" s="65" t="s">
        <v>29</v>
      </c>
    </row>
    <row r="56" spans="1:12" s="122" customFormat="1">
      <c r="A56" s="126"/>
      <c r="B56" s="126"/>
      <c r="C56" s="126"/>
      <c r="D56" s="126"/>
      <c r="E56" s="126"/>
      <c r="F56" s="126"/>
      <c r="G56" s="126"/>
      <c r="I56"/>
      <c r="J56"/>
      <c r="K56"/>
      <c r="L56"/>
    </row>
    <row r="59" spans="1:12">
      <c r="A59" s="268" t="s">
        <v>1110</v>
      </c>
      <c r="B59" s="269" t="s">
        <v>1111</v>
      </c>
      <c r="C59" s="269" t="s">
        <v>45</v>
      </c>
      <c r="D59" s="66" t="s">
        <v>231</v>
      </c>
      <c r="E59" s="66">
        <v>17.439</v>
      </c>
      <c r="F59" s="66">
        <v>0.50706559699999998</v>
      </c>
      <c r="G59" s="247">
        <v>-0.83299999999999996</v>
      </c>
    </row>
    <row r="60" spans="1:12">
      <c r="A60" s="70" t="s">
        <v>29</v>
      </c>
      <c r="B60" s="65" t="s">
        <v>29</v>
      </c>
      <c r="C60" s="65" t="s">
        <v>29</v>
      </c>
      <c r="D60" s="65" t="s">
        <v>231</v>
      </c>
      <c r="E60" s="65">
        <v>34.392000000000003</v>
      </c>
      <c r="F60" s="65" t="s">
        <v>29</v>
      </c>
      <c r="G60" s="65" t="s">
        <v>29</v>
      </c>
    </row>
    <row r="62" spans="1:12" s="122" customFormat="1">
      <c r="A62" s="126"/>
      <c r="B62" s="126"/>
      <c r="C62" s="126"/>
      <c r="D62" s="126"/>
      <c r="E62" s="126"/>
      <c r="F62" s="126"/>
      <c r="G62" s="126"/>
      <c r="I62"/>
      <c r="J62"/>
      <c r="K62"/>
      <c r="L62"/>
    </row>
    <row r="70" spans="1:8">
      <c r="A70" s="4" t="s">
        <v>1112</v>
      </c>
      <c r="B70" s="4" t="s">
        <v>1113</v>
      </c>
      <c r="C70" s="4" t="s">
        <v>38</v>
      </c>
      <c r="D70" s="7" t="s">
        <v>100</v>
      </c>
      <c r="E70" s="7">
        <v>15.387</v>
      </c>
      <c r="F70" s="3">
        <f t="shared" ref="F70:F74" si="0">E70/E71</f>
        <v>0.71411333364273444</v>
      </c>
      <c r="G70" s="189">
        <f t="shared" ref="G70:G74" si="1">(F70-0.94)/0.52</f>
        <v>-0.43439743530243363</v>
      </c>
      <c r="H70" s="55" t="s">
        <v>203</v>
      </c>
    </row>
    <row r="71" spans="1:8">
      <c r="A71" s="7"/>
      <c r="B71" s="7"/>
      <c r="C71" s="7"/>
      <c r="D71" s="7" t="s">
        <v>100</v>
      </c>
      <c r="E71" s="7">
        <v>21.547000000000001</v>
      </c>
      <c r="F71" s="3"/>
      <c r="G71" s="189"/>
    </row>
    <row r="72" spans="1:8">
      <c r="A72" s="4" t="s">
        <v>1112</v>
      </c>
      <c r="B72" s="4" t="s">
        <v>1114</v>
      </c>
      <c r="C72" s="4" t="s">
        <v>21</v>
      </c>
      <c r="D72" s="7" t="s">
        <v>173</v>
      </c>
      <c r="E72" s="7">
        <v>14.976000000000001</v>
      </c>
      <c r="F72" s="3">
        <f t="shared" si="0"/>
        <v>0.60565373882800178</v>
      </c>
      <c r="G72" s="189">
        <f t="shared" si="1"/>
        <v>-0.64297357917691955</v>
      </c>
      <c r="H72" s="55" t="s">
        <v>203</v>
      </c>
    </row>
    <row r="73" spans="1:8">
      <c r="A73" s="7"/>
      <c r="B73" s="7"/>
      <c r="C73" s="7"/>
      <c r="D73" s="7" t="s">
        <v>173</v>
      </c>
      <c r="E73" s="7">
        <v>24.727</v>
      </c>
      <c r="F73" s="3"/>
      <c r="G73" s="189"/>
    </row>
    <row r="74" spans="1:8">
      <c r="A74" s="4" t="s">
        <v>1112</v>
      </c>
      <c r="B74" s="4" t="s">
        <v>1115</v>
      </c>
      <c r="C74" s="4" t="s">
        <v>45</v>
      </c>
      <c r="D74" s="7" t="s">
        <v>39</v>
      </c>
      <c r="E74" s="7">
        <v>16.03</v>
      </c>
      <c r="F74" s="3">
        <f t="shared" si="0"/>
        <v>0.68943271257150229</v>
      </c>
      <c r="G74" s="189">
        <f t="shared" si="1"/>
        <v>-0.48186016813172622</v>
      </c>
      <c r="H74" s="55" t="s">
        <v>203</v>
      </c>
    </row>
    <row r="75" spans="1:8">
      <c r="A75" s="7"/>
      <c r="B75" s="7"/>
      <c r="C75" s="7"/>
      <c r="D75" s="7" t="s">
        <v>39</v>
      </c>
      <c r="E75" s="7">
        <v>23.251000000000001</v>
      </c>
      <c r="F75" s="3"/>
      <c r="G75" s="189"/>
    </row>
    <row r="78" spans="1:8">
      <c r="A78" s="4" t="s">
        <v>1116</v>
      </c>
      <c r="B78" s="4" t="s">
        <v>1117</v>
      </c>
      <c r="C78" s="4" t="s">
        <v>38</v>
      </c>
      <c r="D78" s="7" t="s">
        <v>42</v>
      </c>
      <c r="E78" s="7">
        <v>16.488</v>
      </c>
      <c r="F78" s="3">
        <f t="shared" ref="F78:F80" si="2">E78/E79</f>
        <v>0.68341208654563534</v>
      </c>
      <c r="G78" s="189">
        <f t="shared" ref="G78:G80" si="3">(F78-0.94)/0.52</f>
        <v>-0.49343829510454729</v>
      </c>
      <c r="H78" s="55" t="s">
        <v>203</v>
      </c>
    </row>
    <row r="79" spans="1:8">
      <c r="A79" s="7"/>
      <c r="B79" s="7"/>
      <c r="C79" s="7"/>
      <c r="D79" s="7" t="s">
        <v>42</v>
      </c>
      <c r="E79" s="7">
        <v>24.126000000000001</v>
      </c>
      <c r="F79" s="3"/>
      <c r="G79" s="189"/>
    </row>
    <row r="80" spans="1:8">
      <c r="A80" s="4" t="s">
        <v>1116</v>
      </c>
      <c r="B80" s="4" t="s">
        <v>1118</v>
      </c>
      <c r="C80" s="4" t="s">
        <v>45</v>
      </c>
      <c r="D80" s="7" t="s">
        <v>16</v>
      </c>
      <c r="E80" s="7">
        <v>15.279</v>
      </c>
      <c r="F80" s="3">
        <f t="shared" si="2"/>
        <v>0.62373448726322667</v>
      </c>
      <c r="G80" s="189">
        <f t="shared" si="3"/>
        <v>-0.6082029091091794</v>
      </c>
      <c r="H80" s="55" t="s">
        <v>203</v>
      </c>
    </row>
    <row r="81" spans="1:9">
      <c r="A81" s="7"/>
      <c r="B81" s="7"/>
      <c r="C81" s="7"/>
      <c r="D81" s="7" t="s">
        <v>16</v>
      </c>
      <c r="E81" s="7">
        <v>24.495999999999999</v>
      </c>
      <c r="F81" s="3"/>
      <c r="G81" s="189"/>
    </row>
    <row r="83" spans="1:9" ht="32">
      <c r="A83" s="343" t="s">
        <v>1119</v>
      </c>
      <c r="B83" s="344" t="s">
        <v>1120</v>
      </c>
      <c r="C83" s="344" t="s">
        <v>15</v>
      </c>
      <c r="D83" s="344" t="s">
        <v>68</v>
      </c>
      <c r="E83" s="344">
        <v>15.342000000000001</v>
      </c>
      <c r="F83" s="344">
        <v>0.90151604200000002</v>
      </c>
      <c r="G83" s="346">
        <v>-7.3999999999999996E-2</v>
      </c>
    </row>
    <row r="84" spans="1:9">
      <c r="A84" s="343" t="s">
        <v>29</v>
      </c>
      <c r="B84" s="344" t="s">
        <v>29</v>
      </c>
      <c r="C84" s="344" t="s">
        <v>29</v>
      </c>
      <c r="D84" s="344" t="s">
        <v>68</v>
      </c>
      <c r="E84" s="344">
        <v>17.018000000000001</v>
      </c>
      <c r="F84" s="344" t="s">
        <v>29</v>
      </c>
      <c r="G84" s="345" t="s">
        <v>29</v>
      </c>
    </row>
    <row r="85" spans="1:9" ht="32">
      <c r="A85" s="343" t="s">
        <v>1119</v>
      </c>
      <c r="B85" s="344" t="s">
        <v>1121</v>
      </c>
      <c r="C85" s="344" t="s">
        <v>30</v>
      </c>
      <c r="D85" s="344" t="s">
        <v>71</v>
      </c>
      <c r="E85" s="344">
        <v>16.670000000000002</v>
      </c>
      <c r="F85" s="344">
        <v>0.735657546</v>
      </c>
      <c r="G85" s="346">
        <v>-0.39300000000000002</v>
      </c>
    </row>
    <row r="86" spans="1:9">
      <c r="A86" s="343" t="s">
        <v>29</v>
      </c>
      <c r="B86" s="344" t="s">
        <v>29</v>
      </c>
      <c r="C86" s="344" t="s">
        <v>29</v>
      </c>
      <c r="D86" s="344" t="s">
        <v>71</v>
      </c>
      <c r="E86" s="344">
        <v>22.66</v>
      </c>
      <c r="F86" s="344" t="s">
        <v>29</v>
      </c>
      <c r="G86" s="345" t="s">
        <v>29</v>
      </c>
      <c r="I86" s="51"/>
    </row>
    <row r="87" spans="1:9" ht="32">
      <c r="A87" s="343" t="s">
        <v>1119</v>
      </c>
      <c r="B87" s="344" t="s">
        <v>1122</v>
      </c>
      <c r="C87" s="344" t="s">
        <v>33</v>
      </c>
      <c r="D87" s="344" t="s">
        <v>74</v>
      </c>
      <c r="E87" s="344">
        <v>17.413</v>
      </c>
      <c r="F87" s="344">
        <v>0.78141267299999995</v>
      </c>
      <c r="G87" s="346">
        <v>-0.30499999999999999</v>
      </c>
    </row>
    <row r="88" spans="1:9">
      <c r="A88" s="343" t="s">
        <v>29</v>
      </c>
      <c r="B88" s="344" t="s">
        <v>29</v>
      </c>
      <c r="C88" s="344" t="s">
        <v>29</v>
      </c>
      <c r="D88" s="344" t="s">
        <v>74</v>
      </c>
      <c r="E88" s="344">
        <v>22.283999999999999</v>
      </c>
      <c r="F88" s="344" t="s">
        <v>29</v>
      </c>
      <c r="G88" s="345" t="s">
        <v>29</v>
      </c>
    </row>
    <row r="89" spans="1:9" ht="32">
      <c r="A89" s="343" t="s">
        <v>1123</v>
      </c>
      <c r="B89" s="344" t="s">
        <v>1124</v>
      </c>
      <c r="C89" s="344" t="s">
        <v>30</v>
      </c>
      <c r="D89" s="344" t="s">
        <v>81</v>
      </c>
      <c r="E89" s="344">
        <v>17.052</v>
      </c>
      <c r="F89" s="344">
        <v>0.80460529400000003</v>
      </c>
      <c r="G89" s="346">
        <v>-0.26</v>
      </c>
    </row>
    <row r="90" spans="1:9">
      <c r="A90" s="343" t="s">
        <v>29</v>
      </c>
      <c r="B90" s="344" t="s">
        <v>29</v>
      </c>
      <c r="C90" s="344" t="s">
        <v>29</v>
      </c>
      <c r="D90" s="344" t="s">
        <v>81</v>
      </c>
      <c r="E90" s="344">
        <v>21.193000000000001</v>
      </c>
      <c r="F90" s="344" t="s">
        <v>29</v>
      </c>
      <c r="G90" s="345" t="s">
        <v>29</v>
      </c>
    </row>
    <row r="91" spans="1:9" ht="32">
      <c r="A91" s="343" t="s">
        <v>1123</v>
      </c>
      <c r="B91" s="344" t="s">
        <v>1125</v>
      </c>
      <c r="C91" s="344" t="s">
        <v>33</v>
      </c>
      <c r="D91" s="344" t="s">
        <v>27</v>
      </c>
      <c r="E91" s="344">
        <v>17.878</v>
      </c>
      <c r="F91" s="344">
        <v>0.84330188699999997</v>
      </c>
      <c r="G91" s="346">
        <v>-0.186</v>
      </c>
    </row>
    <row r="92" spans="1:9">
      <c r="A92" s="343" t="s">
        <v>29</v>
      </c>
      <c r="B92" s="344" t="s">
        <v>29</v>
      </c>
      <c r="C92" s="344" t="s">
        <v>29</v>
      </c>
      <c r="D92" s="344" t="s">
        <v>27</v>
      </c>
      <c r="E92" s="344">
        <v>21.2</v>
      </c>
      <c r="F92" s="344" t="s">
        <v>29</v>
      </c>
      <c r="G92" s="345" t="s">
        <v>29</v>
      </c>
    </row>
    <row r="93" spans="1:9" ht="32">
      <c r="A93" s="343" t="s">
        <v>1126</v>
      </c>
      <c r="B93" s="344" t="s">
        <v>1127</v>
      </c>
      <c r="C93" s="344" t="s">
        <v>15</v>
      </c>
      <c r="D93" s="344" t="s">
        <v>31</v>
      </c>
      <c r="E93" s="344">
        <v>17.035</v>
      </c>
      <c r="F93" s="344">
        <v>0.73388764399999995</v>
      </c>
      <c r="G93" s="346">
        <v>-0.39600000000000002</v>
      </c>
    </row>
    <row r="94" spans="1:9">
      <c r="A94" s="343" t="s">
        <v>29</v>
      </c>
      <c r="B94" s="344" t="s">
        <v>29</v>
      </c>
      <c r="C94" s="344" t="s">
        <v>29</v>
      </c>
      <c r="D94" s="344" t="s">
        <v>31</v>
      </c>
      <c r="E94" s="344">
        <v>23.212</v>
      </c>
      <c r="F94" s="344" t="s">
        <v>29</v>
      </c>
      <c r="G94" s="345" t="s">
        <v>29</v>
      </c>
    </row>
    <row r="95" spans="1:9" ht="32">
      <c r="A95" s="343" t="s">
        <v>1126</v>
      </c>
      <c r="B95" s="344" t="s">
        <v>1128</v>
      </c>
      <c r="C95" s="344" t="s">
        <v>30</v>
      </c>
      <c r="D95" s="344" t="s">
        <v>34</v>
      </c>
      <c r="E95" s="344">
        <v>16.204999999999998</v>
      </c>
      <c r="F95" s="344">
        <v>0.75650063000000001</v>
      </c>
      <c r="G95" s="346">
        <v>-0.35299999999999998</v>
      </c>
    </row>
    <row r="96" spans="1:9">
      <c r="A96" s="343" t="s">
        <v>29</v>
      </c>
      <c r="B96" s="344" t="s">
        <v>29</v>
      </c>
      <c r="C96" s="344" t="s">
        <v>29</v>
      </c>
      <c r="D96" s="344" t="s">
        <v>34</v>
      </c>
      <c r="E96" s="344">
        <v>21.420999999999999</v>
      </c>
      <c r="F96" s="344" t="s">
        <v>29</v>
      </c>
      <c r="G96" s="345" t="s">
        <v>29</v>
      </c>
    </row>
    <row r="97" spans="1:7" ht="32">
      <c r="A97" s="343" t="s">
        <v>1126</v>
      </c>
      <c r="B97" s="344" t="s">
        <v>1129</v>
      </c>
      <c r="C97" s="344" t="s">
        <v>33</v>
      </c>
      <c r="D97" s="344" t="s">
        <v>105</v>
      </c>
      <c r="E97" s="344">
        <v>16.385000000000002</v>
      </c>
      <c r="F97" s="344">
        <v>0.65312711800000001</v>
      </c>
      <c r="G97" s="346">
        <v>-0.55200000000000005</v>
      </c>
    </row>
    <row r="98" spans="1:7">
      <c r="A98" s="343" t="s">
        <v>29</v>
      </c>
      <c r="B98" s="344" t="s">
        <v>29</v>
      </c>
      <c r="C98" s="344" t="s">
        <v>29</v>
      </c>
      <c r="D98" s="344" t="s">
        <v>105</v>
      </c>
      <c r="E98" s="344">
        <v>25.087</v>
      </c>
      <c r="F98" s="344" t="s">
        <v>29</v>
      </c>
      <c r="G98" s="345" t="s">
        <v>29</v>
      </c>
    </row>
    <row r="99" spans="1:7" ht="32">
      <c r="A99" s="343" t="s">
        <v>1130</v>
      </c>
      <c r="B99" s="344" t="s">
        <v>1131</v>
      </c>
      <c r="C99" s="344" t="s">
        <v>15</v>
      </c>
      <c r="D99" s="344" t="s">
        <v>59</v>
      </c>
      <c r="E99" s="344">
        <v>16.689</v>
      </c>
      <c r="F99" s="344">
        <v>0.71540637900000004</v>
      </c>
      <c r="G99" s="346">
        <v>-0.432</v>
      </c>
    </row>
    <row r="100" spans="1:7">
      <c r="A100" s="343" t="s">
        <v>29</v>
      </c>
      <c r="B100" s="344" t="s">
        <v>29</v>
      </c>
      <c r="C100" s="344" t="s">
        <v>29</v>
      </c>
      <c r="D100" s="344" t="s">
        <v>59</v>
      </c>
      <c r="E100" s="344">
        <v>23.327999999999999</v>
      </c>
      <c r="F100" s="344" t="s">
        <v>29</v>
      </c>
      <c r="G100"/>
    </row>
    <row r="102" spans="1:7" ht="32">
      <c r="A102" s="347" t="s">
        <v>1132</v>
      </c>
      <c r="B102" s="348" t="s">
        <v>1107</v>
      </c>
      <c r="C102" s="348" t="s">
        <v>38</v>
      </c>
      <c r="D102" s="348" t="s">
        <v>16</v>
      </c>
      <c r="E102" s="348">
        <v>16.73</v>
      </c>
      <c r="F102" s="348">
        <v>0.695229388</v>
      </c>
      <c r="G102" s="349">
        <v>-0.47099999999999997</v>
      </c>
    </row>
    <row r="103" spans="1:7">
      <c r="A103" s="347" t="s">
        <v>29</v>
      </c>
      <c r="B103" s="348" t="s">
        <v>29</v>
      </c>
      <c r="C103" s="348" t="s">
        <v>29</v>
      </c>
      <c r="D103" s="348" t="s">
        <v>16</v>
      </c>
      <c r="E103" s="348">
        <v>24.064</v>
      </c>
      <c r="F103" s="348" t="s">
        <v>29</v>
      </c>
      <c r="G103" s="348" t="s">
        <v>29</v>
      </c>
    </row>
    <row r="104" spans="1:7" ht="32">
      <c r="A104" s="347" t="s">
        <v>1132</v>
      </c>
      <c r="B104" s="348" t="s">
        <v>1108</v>
      </c>
      <c r="C104" s="348" t="s">
        <v>21</v>
      </c>
      <c r="D104" s="348" t="s">
        <v>22</v>
      </c>
      <c r="E104" s="348">
        <v>16.436</v>
      </c>
      <c r="F104" s="348">
        <v>0.61198197899999995</v>
      </c>
      <c r="G104" s="349">
        <v>-0.63100000000000001</v>
      </c>
    </row>
    <row r="105" spans="1:7">
      <c r="A105" s="347" t="s">
        <v>29</v>
      </c>
      <c r="B105" s="348" t="s">
        <v>29</v>
      </c>
      <c r="C105" s="348" t="s">
        <v>29</v>
      </c>
      <c r="D105" s="348" t="s">
        <v>22</v>
      </c>
      <c r="E105" s="348">
        <v>26.856999999999999</v>
      </c>
      <c r="F105" s="348" t="s">
        <v>29</v>
      </c>
      <c r="G105" s="348" t="s">
        <v>29</v>
      </c>
    </row>
    <row r="106" spans="1:7" ht="32">
      <c r="A106" s="347" t="s">
        <v>1132</v>
      </c>
      <c r="B106" s="348" t="s">
        <v>1109</v>
      </c>
      <c r="C106" s="348" t="s">
        <v>45</v>
      </c>
      <c r="D106" s="348" t="s">
        <v>335</v>
      </c>
      <c r="E106" s="348">
        <v>16.356999999999999</v>
      </c>
      <c r="F106" s="348">
        <v>0.60085222100000002</v>
      </c>
      <c r="G106" s="349">
        <v>-0.65200000000000002</v>
      </c>
    </row>
    <row r="107" spans="1:7">
      <c r="A107" s="347" t="s">
        <v>29</v>
      </c>
      <c r="B107" s="348" t="s">
        <v>29</v>
      </c>
      <c r="C107" s="348" t="s">
        <v>29</v>
      </c>
      <c r="D107" s="348" t="s">
        <v>335</v>
      </c>
      <c r="E107" s="348">
        <v>27.222999999999999</v>
      </c>
      <c r="F107" s="348" t="s">
        <v>29</v>
      </c>
      <c r="G107" s="348" t="s">
        <v>29</v>
      </c>
    </row>
    <row r="108" spans="1:7" ht="32">
      <c r="A108" s="347" t="s">
        <v>1133</v>
      </c>
      <c r="B108" s="348" t="s">
        <v>1111</v>
      </c>
      <c r="C108" s="348" t="s">
        <v>45</v>
      </c>
      <c r="D108" s="348" t="s">
        <v>231</v>
      </c>
      <c r="E108" s="348">
        <v>17.439</v>
      </c>
      <c r="F108" s="348">
        <v>0.50706559699999998</v>
      </c>
      <c r="G108" s="349">
        <v>-0.83299999999999996</v>
      </c>
    </row>
    <row r="109" spans="1:7">
      <c r="A109" s="347" t="s">
        <v>29</v>
      </c>
      <c r="B109" s="348" t="s">
        <v>29</v>
      </c>
      <c r="C109" s="348" t="s">
        <v>29</v>
      </c>
      <c r="D109" s="348" t="s">
        <v>231</v>
      </c>
      <c r="E109" s="348">
        <v>34.392000000000003</v>
      </c>
      <c r="F109" s="348" t="s">
        <v>29</v>
      </c>
      <c r="G109" s="348" t="s">
        <v>29</v>
      </c>
    </row>
    <row r="110" spans="1:7" ht="32">
      <c r="A110" s="347" t="s">
        <v>1134</v>
      </c>
      <c r="B110" s="348" t="s">
        <v>1101</v>
      </c>
      <c r="C110" s="348" t="s">
        <v>45</v>
      </c>
      <c r="D110" s="348" t="s">
        <v>180</v>
      </c>
      <c r="E110" s="348">
        <v>21.715</v>
      </c>
      <c r="F110" s="348">
        <v>0.73250126500000001</v>
      </c>
      <c r="G110" s="349">
        <v>-0.39900000000000002</v>
      </c>
    </row>
    <row r="111" spans="1:7">
      <c r="A111" s="347" t="s">
        <v>29</v>
      </c>
      <c r="B111" s="348" t="s">
        <v>29</v>
      </c>
      <c r="C111" s="348" t="s">
        <v>29</v>
      </c>
      <c r="D111" s="348" t="s">
        <v>180</v>
      </c>
      <c r="E111" s="348">
        <v>29.645</v>
      </c>
      <c r="F111" s="348" t="s">
        <v>29</v>
      </c>
      <c r="G111" s="348" t="s">
        <v>29</v>
      </c>
    </row>
    <row r="112" spans="1:7" ht="32">
      <c r="A112" s="347" t="s">
        <v>1135</v>
      </c>
      <c r="B112" s="348" t="s">
        <v>1105</v>
      </c>
      <c r="C112" s="348" t="s">
        <v>45</v>
      </c>
      <c r="D112" s="348" t="s">
        <v>281</v>
      </c>
      <c r="E112" s="348">
        <v>16.751000000000001</v>
      </c>
      <c r="F112" s="348">
        <v>0.57065476599999998</v>
      </c>
      <c r="G112" s="349">
        <v>-0.71</v>
      </c>
    </row>
    <row r="113" spans="1:9">
      <c r="A113" s="347" t="s">
        <v>29</v>
      </c>
      <c r="B113" s="348" t="s">
        <v>29</v>
      </c>
      <c r="C113" s="348" t="s">
        <v>29</v>
      </c>
      <c r="D113" s="348" t="s">
        <v>281</v>
      </c>
      <c r="E113" s="348">
        <v>29.353999999999999</v>
      </c>
      <c r="F113" s="348" t="s">
        <v>29</v>
      </c>
      <c r="G113" s="348" t="s">
        <v>29</v>
      </c>
    </row>
    <row r="114" spans="1:9" ht="32">
      <c r="A114" s="347" t="s">
        <v>1136</v>
      </c>
      <c r="B114" s="348" t="s">
        <v>1103</v>
      </c>
      <c r="C114" s="348" t="s">
        <v>45</v>
      </c>
      <c r="D114" s="348" t="s">
        <v>242</v>
      </c>
      <c r="E114" s="348">
        <v>17.529</v>
      </c>
      <c r="F114" s="348">
        <v>0.75328749500000003</v>
      </c>
      <c r="G114" s="349">
        <v>-0.35899999999999999</v>
      </c>
    </row>
    <row r="115" spans="1:9">
      <c r="A115" s="347" t="s">
        <v>29</v>
      </c>
      <c r="B115" s="348" t="s">
        <v>29</v>
      </c>
      <c r="C115" s="348" t="s">
        <v>29</v>
      </c>
      <c r="D115" s="348" t="s">
        <v>242</v>
      </c>
      <c r="E115" s="348">
        <v>23.27</v>
      </c>
      <c r="F115" s="313"/>
      <c r="G115" s="313"/>
    </row>
    <row r="116" spans="1:9">
      <c r="A116"/>
      <c r="B116"/>
      <c r="C116"/>
      <c r="D116"/>
      <c r="E116"/>
      <c r="F116"/>
      <c r="G116"/>
    </row>
    <row r="117" spans="1:9">
      <c r="A117" s="350" t="s">
        <v>1137</v>
      </c>
      <c r="B117" s="351" t="s">
        <v>1138</v>
      </c>
      <c r="C117" s="351" t="s">
        <v>15</v>
      </c>
      <c r="D117" s="351" t="s">
        <v>100</v>
      </c>
      <c r="E117" s="351">
        <v>17.084</v>
      </c>
      <c r="F117" s="351">
        <v>0.78557962000000003</v>
      </c>
      <c r="G117" s="352">
        <v>-0.29699999999999999</v>
      </c>
    </row>
    <row r="118" spans="1:9">
      <c r="A118" s="350" t="s">
        <v>29</v>
      </c>
      <c r="B118" s="351" t="s">
        <v>29</v>
      </c>
      <c r="C118" s="351" t="s">
        <v>29</v>
      </c>
      <c r="D118" s="351" t="s">
        <v>100</v>
      </c>
      <c r="E118" s="351">
        <v>21.747</v>
      </c>
      <c r="F118" s="351" t="s">
        <v>29</v>
      </c>
      <c r="G118" s="351" t="s">
        <v>29</v>
      </c>
    </row>
    <row r="119" spans="1:9">
      <c r="A119" s="350" t="s">
        <v>1137</v>
      </c>
      <c r="B119" s="351" t="s">
        <v>1139</v>
      </c>
      <c r="C119" s="351" t="s">
        <v>30</v>
      </c>
      <c r="D119" s="351" t="s">
        <v>173</v>
      </c>
      <c r="E119" s="351">
        <v>16.986999999999998</v>
      </c>
      <c r="F119" s="351">
        <v>0.73594142600000001</v>
      </c>
      <c r="G119" s="352">
        <v>-0.39200000000000002</v>
      </c>
    </row>
    <row r="120" spans="1:9">
      <c r="A120" s="350" t="s">
        <v>29</v>
      </c>
      <c r="B120" s="351" t="s">
        <v>29</v>
      </c>
      <c r="C120" s="351" t="s">
        <v>29</v>
      </c>
      <c r="D120" s="351" t="s">
        <v>173</v>
      </c>
      <c r="E120" s="351">
        <v>23.082000000000001</v>
      </c>
      <c r="F120" s="351" t="s">
        <v>29</v>
      </c>
      <c r="G120" s="351" t="s">
        <v>29</v>
      </c>
    </row>
    <row r="121" spans="1:9">
      <c r="A121" s="353" t="s">
        <v>1137</v>
      </c>
      <c r="B121" s="354" t="s">
        <v>1140</v>
      </c>
      <c r="C121" s="354" t="s">
        <v>33</v>
      </c>
      <c r="D121" s="355" t="s">
        <v>522</v>
      </c>
      <c r="E121" s="355" t="s">
        <v>522</v>
      </c>
      <c r="F121" s="355" t="s">
        <v>522</v>
      </c>
      <c r="G121" s="356" t="s">
        <v>522</v>
      </c>
    </row>
    <row r="122" spans="1:9">
      <c r="A122" s="353" t="s">
        <v>29</v>
      </c>
      <c r="B122" s="354" t="s">
        <v>29</v>
      </c>
      <c r="C122" s="354" t="s">
        <v>29</v>
      </c>
      <c r="D122" s="355" t="s">
        <v>522</v>
      </c>
      <c r="E122" s="355" t="s">
        <v>522</v>
      </c>
      <c r="F122" s="355" t="s">
        <v>522</v>
      </c>
      <c r="G122" s="356" t="s">
        <v>522</v>
      </c>
    </row>
    <row r="124" spans="1:9">
      <c r="A124" s="357" t="s">
        <v>1141</v>
      </c>
      <c r="B124" s="358" t="s">
        <v>1142</v>
      </c>
      <c r="C124" s="358" t="s">
        <v>1143</v>
      </c>
      <c r="D124" s="358" t="s">
        <v>1144</v>
      </c>
      <c r="E124" s="358" t="s">
        <v>17</v>
      </c>
      <c r="F124" s="358">
        <v>16.597000000000001</v>
      </c>
      <c r="G124" s="358">
        <v>0.79082288999999995</v>
      </c>
      <c r="H124" s="360">
        <v>-0.28699999999999998</v>
      </c>
      <c r="I124" t="s">
        <v>1145</v>
      </c>
    </row>
    <row r="125" spans="1:9">
      <c r="A125" s="357" t="s">
        <v>29</v>
      </c>
      <c r="B125" s="358" t="s">
        <v>29</v>
      </c>
      <c r="C125" s="358" t="s">
        <v>29</v>
      </c>
      <c r="D125" s="358" t="s">
        <v>29</v>
      </c>
      <c r="E125" s="358" t="s">
        <v>19</v>
      </c>
      <c r="F125" s="358">
        <v>20.986999999999998</v>
      </c>
      <c r="G125" s="358" t="s">
        <v>29</v>
      </c>
      <c r="H125" s="359" t="s">
        <v>29</v>
      </c>
    </row>
    <row r="126" spans="1:9">
      <c r="A126" s="357" t="s">
        <v>1141</v>
      </c>
      <c r="B126" s="358" t="s">
        <v>1146</v>
      </c>
      <c r="C126" s="358" t="s">
        <v>1143</v>
      </c>
      <c r="D126" s="358" t="s">
        <v>1144</v>
      </c>
      <c r="E126" s="358" t="s">
        <v>17</v>
      </c>
      <c r="F126" s="358">
        <v>17.465</v>
      </c>
      <c r="G126" s="358">
        <v>0.766344888</v>
      </c>
      <c r="H126" s="360">
        <v>-0.33400000000000002</v>
      </c>
    </row>
    <row r="127" spans="1:9">
      <c r="A127" s="357" t="s">
        <v>29</v>
      </c>
      <c r="B127" s="358" t="s">
        <v>29</v>
      </c>
      <c r="C127" s="358" t="s">
        <v>29</v>
      </c>
      <c r="D127" s="358" t="s">
        <v>29</v>
      </c>
      <c r="E127" s="358" t="s">
        <v>19</v>
      </c>
      <c r="F127" s="358">
        <v>22.79</v>
      </c>
      <c r="G127" s="358" t="s">
        <v>29</v>
      </c>
      <c r="H127" s="359" t="s">
        <v>29</v>
      </c>
    </row>
    <row r="128" spans="1:9">
      <c r="A128" s="357" t="s">
        <v>1147</v>
      </c>
      <c r="B128" s="358" t="s">
        <v>1142</v>
      </c>
      <c r="C128" s="358" t="s">
        <v>1143</v>
      </c>
      <c r="D128" s="358" t="s">
        <v>1148</v>
      </c>
      <c r="E128" s="358" t="s">
        <v>17</v>
      </c>
      <c r="F128" s="358">
        <v>14.891</v>
      </c>
      <c r="G128" s="358">
        <v>0.73553963899999997</v>
      </c>
      <c r="H128" s="360">
        <v>-0.39300000000000002</v>
      </c>
    </row>
    <row r="129" spans="1:8">
      <c r="A129" s="357" t="s">
        <v>29</v>
      </c>
      <c r="B129" s="358" t="s">
        <v>29</v>
      </c>
      <c r="C129" s="358" t="s">
        <v>29</v>
      </c>
      <c r="D129" s="358" t="s">
        <v>29</v>
      </c>
      <c r="E129" s="358" t="s">
        <v>19</v>
      </c>
      <c r="F129" s="358">
        <v>20.245000000000001</v>
      </c>
      <c r="G129" s="358" t="s">
        <v>29</v>
      </c>
      <c r="H129" s="359" t="s">
        <v>29</v>
      </c>
    </row>
    <row r="130" spans="1:8">
      <c r="A130" s="357" t="s">
        <v>1147</v>
      </c>
      <c r="B130" s="358" t="s">
        <v>1146</v>
      </c>
      <c r="C130" s="358" t="s">
        <v>1143</v>
      </c>
      <c r="D130" s="358" t="s">
        <v>1149</v>
      </c>
      <c r="E130" s="358" t="s">
        <v>17</v>
      </c>
      <c r="F130" s="358">
        <v>15.058999999999999</v>
      </c>
      <c r="G130" s="358">
        <v>0.84255581000000002</v>
      </c>
      <c r="H130" s="360">
        <v>-0.187</v>
      </c>
    </row>
    <row r="131" spans="1:8">
      <c r="A131" s="357" t="s">
        <v>29</v>
      </c>
      <c r="B131" s="358" t="s">
        <v>29</v>
      </c>
      <c r="C131" s="358" t="s">
        <v>29</v>
      </c>
      <c r="D131" s="358" t="s">
        <v>29</v>
      </c>
      <c r="E131" s="358" t="s">
        <v>19</v>
      </c>
      <c r="F131" s="358">
        <v>17.873000000000001</v>
      </c>
      <c r="G131" s="358" t="s">
        <v>29</v>
      </c>
      <c r="H131" s="359" t="s">
        <v>29</v>
      </c>
    </row>
    <row r="132" spans="1:8">
      <c r="A132" s="357" t="s">
        <v>1150</v>
      </c>
      <c r="B132" s="358" t="s">
        <v>1142</v>
      </c>
      <c r="C132" s="358" t="s">
        <v>1151</v>
      </c>
      <c r="D132" s="358" t="s">
        <v>1152</v>
      </c>
      <c r="E132" s="358" t="s">
        <v>17</v>
      </c>
      <c r="F132" s="358">
        <v>14.648999999999999</v>
      </c>
      <c r="G132" s="358">
        <v>0.671141247</v>
      </c>
      <c r="H132" s="360">
        <v>-0.51700000000000002</v>
      </c>
    </row>
    <row r="133" spans="1:8">
      <c r="A133" s="357" t="s">
        <v>29</v>
      </c>
      <c r="B133" s="358" t="s">
        <v>29</v>
      </c>
      <c r="C133" s="358" t="s">
        <v>29</v>
      </c>
      <c r="D133" s="358" t="s">
        <v>29</v>
      </c>
      <c r="E133" s="358" t="s">
        <v>19</v>
      </c>
      <c r="F133" s="358">
        <v>21.827000000000002</v>
      </c>
      <c r="G133" s="358" t="s">
        <v>29</v>
      </c>
      <c r="H133" s="359" t="s">
        <v>29</v>
      </c>
    </row>
    <row r="134" spans="1:8">
      <c r="A134" s="357" t="s">
        <v>1150</v>
      </c>
      <c r="B134" s="358" t="s">
        <v>1146</v>
      </c>
      <c r="C134" s="358" t="s">
        <v>1151</v>
      </c>
      <c r="D134" s="358" t="s">
        <v>1152</v>
      </c>
      <c r="E134" s="358" t="s">
        <v>17</v>
      </c>
      <c r="F134" s="358">
        <v>16.613</v>
      </c>
      <c r="G134" s="358">
        <v>0.85207980699999997</v>
      </c>
      <c r="H134" s="360">
        <v>-0.16900000000000001</v>
      </c>
    </row>
    <row r="135" spans="1:8">
      <c r="A135" s="357" t="s">
        <v>29</v>
      </c>
      <c r="B135" s="358" t="s">
        <v>29</v>
      </c>
      <c r="C135" s="358" t="s">
        <v>29</v>
      </c>
      <c r="D135" s="358" t="s">
        <v>29</v>
      </c>
      <c r="E135" s="358" t="s">
        <v>19</v>
      </c>
      <c r="F135" s="358">
        <v>19.497</v>
      </c>
      <c r="G135" s="358" t="s">
        <v>29</v>
      </c>
      <c r="H135" s="359" t="s">
        <v>29</v>
      </c>
    </row>
    <row r="136" spans="1:8">
      <c r="A136" s="357" t="s">
        <v>1153</v>
      </c>
      <c r="B136" s="358" t="s">
        <v>1142</v>
      </c>
      <c r="C136" s="358" t="s">
        <v>1154</v>
      </c>
      <c r="D136" s="358" t="s">
        <v>1155</v>
      </c>
      <c r="E136" s="358" t="s">
        <v>17</v>
      </c>
      <c r="F136" s="358">
        <v>15.88</v>
      </c>
      <c r="G136" s="358">
        <v>0.65384773699999998</v>
      </c>
      <c r="H136" s="360">
        <v>-0.55000000000000004</v>
      </c>
    </row>
    <row r="137" spans="1:8">
      <c r="A137" s="357" t="s">
        <v>29</v>
      </c>
      <c r="B137" s="358" t="s">
        <v>29</v>
      </c>
      <c r="C137" s="358" t="s">
        <v>29</v>
      </c>
      <c r="D137" s="358" t="s">
        <v>29</v>
      </c>
      <c r="E137" s="358" t="s">
        <v>19</v>
      </c>
      <c r="F137" s="358">
        <v>24.286999999999999</v>
      </c>
      <c r="G137" s="358" t="s">
        <v>29</v>
      </c>
      <c r="H137" s="359" t="s">
        <v>29</v>
      </c>
    </row>
    <row r="138" spans="1:8">
      <c r="A138" s="357" t="s">
        <v>1153</v>
      </c>
      <c r="B138" s="358" t="s">
        <v>1146</v>
      </c>
      <c r="C138" s="358" t="s">
        <v>1154</v>
      </c>
      <c r="D138" s="358" t="s">
        <v>1156</v>
      </c>
      <c r="E138" s="358" t="s">
        <v>17</v>
      </c>
      <c r="F138" s="358">
        <v>16.2</v>
      </c>
      <c r="G138" s="358">
        <v>0.59725704199999996</v>
      </c>
      <c r="H138" s="360">
        <v>-0.65900000000000003</v>
      </c>
    </row>
    <row r="139" spans="1:8">
      <c r="A139" s="357" t="s">
        <v>29</v>
      </c>
      <c r="B139" s="358" t="s">
        <v>29</v>
      </c>
      <c r="C139" s="358" t="s">
        <v>29</v>
      </c>
      <c r="D139" s="358" t="s">
        <v>29</v>
      </c>
      <c r="E139" s="358" t="s">
        <v>19</v>
      </c>
      <c r="F139" s="358">
        <v>27.123999999999999</v>
      </c>
      <c r="G139" s="358" t="s">
        <v>29</v>
      </c>
      <c r="H139" s="359" t="s">
        <v>29</v>
      </c>
    </row>
    <row r="140" spans="1:8">
      <c r="A140" s="357" t="s">
        <v>1157</v>
      </c>
      <c r="B140" s="358" t="s">
        <v>1142</v>
      </c>
      <c r="C140" s="358" t="s">
        <v>1143</v>
      </c>
      <c r="D140" s="358" t="s">
        <v>1158</v>
      </c>
      <c r="E140" s="358" t="s">
        <v>17</v>
      </c>
      <c r="F140" s="358">
        <v>15.273999999999999</v>
      </c>
      <c r="G140" s="358">
        <v>0.63567504600000002</v>
      </c>
      <c r="H140" s="360">
        <v>-0.58499999999999996</v>
      </c>
    </row>
    <row r="141" spans="1:8">
      <c r="A141" s="357" t="s">
        <v>29</v>
      </c>
      <c r="B141" s="358" t="s">
        <v>29</v>
      </c>
      <c r="C141" s="358" t="s">
        <v>29</v>
      </c>
      <c r="D141" s="358" t="s">
        <v>29</v>
      </c>
      <c r="E141" s="358" t="s">
        <v>19</v>
      </c>
      <c r="F141" s="358">
        <v>24.027999999999999</v>
      </c>
      <c r="G141" s="358" t="s">
        <v>29</v>
      </c>
      <c r="H141" s="359" t="s">
        <v>29</v>
      </c>
    </row>
    <row r="142" spans="1:8">
      <c r="A142" s="357" t="s">
        <v>1157</v>
      </c>
      <c r="B142" s="358" t="s">
        <v>1146</v>
      </c>
      <c r="C142" s="358" t="s">
        <v>1143</v>
      </c>
      <c r="D142" s="358" t="s">
        <v>1159</v>
      </c>
      <c r="E142" s="358" t="s">
        <v>17</v>
      </c>
      <c r="F142" s="358">
        <v>15.115</v>
      </c>
      <c r="G142" s="358">
        <v>0.61964498000000001</v>
      </c>
      <c r="H142" s="360">
        <v>-0.61599999999999999</v>
      </c>
    </row>
    <row r="143" spans="1:8">
      <c r="A143" s="357" t="s">
        <v>29</v>
      </c>
      <c r="B143" s="358" t="s">
        <v>29</v>
      </c>
      <c r="C143" s="358" t="s">
        <v>29</v>
      </c>
      <c r="D143" s="358" t="s">
        <v>29</v>
      </c>
      <c r="E143" s="358" t="s">
        <v>19</v>
      </c>
      <c r="F143" s="358">
        <v>24.393000000000001</v>
      </c>
      <c r="G143" s="358" t="s">
        <v>29</v>
      </c>
      <c r="H143" s="359" t="s">
        <v>29</v>
      </c>
    </row>
    <row r="144" spans="1:8">
      <c r="A144" s="357" t="s">
        <v>1160</v>
      </c>
      <c r="B144" s="358" t="s">
        <v>1142</v>
      </c>
      <c r="C144" s="358" t="s">
        <v>1143</v>
      </c>
      <c r="D144" s="358" t="s">
        <v>1161</v>
      </c>
      <c r="E144" s="358" t="s">
        <v>17</v>
      </c>
      <c r="F144" s="358">
        <v>16.221</v>
      </c>
      <c r="G144" s="358">
        <v>0.651445783</v>
      </c>
      <c r="H144" s="360">
        <v>-0.55500000000000005</v>
      </c>
    </row>
    <row r="145" spans="1:8">
      <c r="A145" s="357" t="s">
        <v>29</v>
      </c>
      <c r="B145" s="358" t="s">
        <v>29</v>
      </c>
      <c r="C145" s="358" t="s">
        <v>29</v>
      </c>
      <c r="D145" s="358" t="s">
        <v>29</v>
      </c>
      <c r="E145" s="358" t="s">
        <v>19</v>
      </c>
      <c r="F145" s="358">
        <v>24.9</v>
      </c>
      <c r="G145" s="358" t="s">
        <v>29</v>
      </c>
      <c r="H145" s="359" t="s">
        <v>29</v>
      </c>
    </row>
    <row r="146" spans="1:8">
      <c r="A146" s="357" t="s">
        <v>1160</v>
      </c>
      <c r="B146" s="358" t="s">
        <v>1146</v>
      </c>
      <c r="C146" s="358" t="s">
        <v>1143</v>
      </c>
      <c r="D146" s="358" t="s">
        <v>1162</v>
      </c>
      <c r="E146" s="358" t="s">
        <v>17</v>
      </c>
      <c r="F146" s="358">
        <v>16.292999999999999</v>
      </c>
      <c r="G146" s="358">
        <v>0.63819036399999995</v>
      </c>
      <c r="H146" s="360">
        <v>-0.57999999999999996</v>
      </c>
    </row>
    <row r="147" spans="1:8">
      <c r="A147" s="357" t="s">
        <v>29</v>
      </c>
      <c r="B147" s="358" t="s">
        <v>29</v>
      </c>
      <c r="C147" s="358" t="s">
        <v>29</v>
      </c>
      <c r="D147" s="358" t="s">
        <v>29</v>
      </c>
      <c r="E147" s="358" t="s">
        <v>19</v>
      </c>
      <c r="F147" s="358">
        <v>25.53</v>
      </c>
      <c r="G147" s="358" t="s">
        <v>29</v>
      </c>
      <c r="H147" s="359" t="s">
        <v>29</v>
      </c>
    </row>
    <row r="148" spans="1:8">
      <c r="A148" s="357" t="s">
        <v>1163</v>
      </c>
      <c r="B148" s="358" t="s">
        <v>1142</v>
      </c>
      <c r="C148" s="358" t="s">
        <v>1143</v>
      </c>
      <c r="D148" s="358" t="s">
        <v>1164</v>
      </c>
      <c r="E148" s="358" t="s">
        <v>17</v>
      </c>
      <c r="F148" s="358">
        <v>15.147</v>
      </c>
      <c r="G148" s="358">
        <v>0.75557439999999998</v>
      </c>
      <c r="H148" s="360">
        <v>-0.35499999999999998</v>
      </c>
    </row>
    <row r="149" spans="1:8">
      <c r="A149" s="357" t="s">
        <v>29</v>
      </c>
      <c r="B149" s="358" t="s">
        <v>29</v>
      </c>
      <c r="C149" s="358" t="s">
        <v>29</v>
      </c>
      <c r="D149" s="358" t="s">
        <v>29</v>
      </c>
      <c r="E149" s="358" t="s">
        <v>19</v>
      </c>
      <c r="F149" s="358">
        <v>20.047000000000001</v>
      </c>
      <c r="G149" s="358" t="s">
        <v>29</v>
      </c>
      <c r="H149" s="359" t="s">
        <v>29</v>
      </c>
    </row>
    <row r="150" spans="1:8">
      <c r="A150" s="357" t="s">
        <v>1163</v>
      </c>
      <c r="B150" s="358" t="s">
        <v>1146</v>
      </c>
      <c r="C150" s="358" t="s">
        <v>1143</v>
      </c>
      <c r="D150" s="358" t="s">
        <v>1165</v>
      </c>
      <c r="E150" s="358" t="s">
        <v>17</v>
      </c>
      <c r="F150" s="358">
        <v>15.590999999999999</v>
      </c>
      <c r="G150" s="358">
        <v>0.80477984800000002</v>
      </c>
      <c r="H150" s="360">
        <v>-0.26</v>
      </c>
    </row>
    <row r="151" spans="1:8">
      <c r="A151" s="357" t="s">
        <v>29</v>
      </c>
      <c r="B151" s="358" t="s">
        <v>29</v>
      </c>
      <c r="C151" s="358" t="s">
        <v>29</v>
      </c>
      <c r="D151" s="358" t="s">
        <v>29</v>
      </c>
      <c r="E151" s="358" t="s">
        <v>19</v>
      </c>
      <c r="F151" s="358">
        <v>19.373000000000001</v>
      </c>
      <c r="G151" s="358" t="s">
        <v>29</v>
      </c>
      <c r="H151" s="359" t="s">
        <v>29</v>
      </c>
    </row>
    <row r="152" spans="1:8">
      <c r="A152" s="357" t="s">
        <v>1166</v>
      </c>
      <c r="B152" s="358" t="s">
        <v>1146</v>
      </c>
      <c r="C152" s="358" t="s">
        <v>1167</v>
      </c>
      <c r="D152" s="358" t="s">
        <v>1168</v>
      </c>
      <c r="E152" s="358" t="s">
        <v>17</v>
      </c>
      <c r="F152" s="358">
        <v>15.28</v>
      </c>
      <c r="G152" s="358">
        <v>0.61585586999999997</v>
      </c>
      <c r="H152" s="360">
        <v>-0.623</v>
      </c>
    </row>
    <row r="153" spans="1:8">
      <c r="A153" s="357" t="s">
        <v>29</v>
      </c>
      <c r="B153" s="358" t="s">
        <v>29</v>
      </c>
      <c r="C153" s="358" t="s">
        <v>29</v>
      </c>
      <c r="D153" s="358" t="s">
        <v>29</v>
      </c>
      <c r="E153" s="358" t="s">
        <v>19</v>
      </c>
      <c r="F153" s="358">
        <v>24.811</v>
      </c>
      <c r="G153" s="358" t="s">
        <v>29</v>
      </c>
      <c r="H153" s="359" t="s">
        <v>29</v>
      </c>
    </row>
    <row r="154" spans="1:8">
      <c r="A154" s="357" t="s">
        <v>1169</v>
      </c>
      <c r="B154" s="358" t="s">
        <v>1142</v>
      </c>
      <c r="C154" s="358" t="s">
        <v>1154</v>
      </c>
      <c r="D154" s="358" t="s">
        <v>1170</v>
      </c>
      <c r="E154" s="358" t="s">
        <v>17</v>
      </c>
      <c r="F154" s="358">
        <v>16.306999999999999</v>
      </c>
      <c r="G154" s="358">
        <v>0.64815771700000002</v>
      </c>
      <c r="H154" s="360">
        <v>-0.56100000000000005</v>
      </c>
    </row>
    <row r="155" spans="1:8">
      <c r="A155" s="357" t="s">
        <v>29</v>
      </c>
      <c r="B155" s="358" t="s">
        <v>29</v>
      </c>
      <c r="C155" s="358" t="s">
        <v>29</v>
      </c>
      <c r="D155" s="358" t="s">
        <v>29</v>
      </c>
      <c r="E155" s="358" t="s">
        <v>19</v>
      </c>
      <c r="F155" s="358">
        <v>25.158999999999999</v>
      </c>
      <c r="G155" s="358" t="s">
        <v>29</v>
      </c>
      <c r="H155" s="359" t="s">
        <v>29</v>
      </c>
    </row>
    <row r="156" spans="1:8">
      <c r="A156" s="357" t="s">
        <v>1171</v>
      </c>
      <c r="B156" s="358" t="s">
        <v>1146</v>
      </c>
      <c r="C156" s="358" t="s">
        <v>1154</v>
      </c>
      <c r="D156" s="358" t="s">
        <v>1170</v>
      </c>
      <c r="E156" s="358" t="s">
        <v>17</v>
      </c>
      <c r="F156" s="358">
        <v>18.731000000000002</v>
      </c>
      <c r="G156" s="358">
        <v>0.63001580800000001</v>
      </c>
      <c r="H156" s="360">
        <v>-0.59599999999999997</v>
      </c>
    </row>
    <row r="157" spans="1:8">
      <c r="A157" s="357" t="s">
        <v>29</v>
      </c>
      <c r="B157" s="358" t="s">
        <v>29</v>
      </c>
      <c r="C157" s="358" t="s">
        <v>29</v>
      </c>
      <c r="D157" s="358" t="s">
        <v>29</v>
      </c>
      <c r="E157" s="358" t="s">
        <v>19</v>
      </c>
      <c r="F157" s="358">
        <v>29.731000000000002</v>
      </c>
      <c r="G157"/>
    </row>
    <row r="158" spans="1:8" ht="48">
      <c r="A158" s="362" t="s">
        <v>1172</v>
      </c>
      <c r="B158" s="363" t="s">
        <v>9</v>
      </c>
      <c r="C158" s="363" t="s">
        <v>0</v>
      </c>
      <c r="D158" s="363" t="s">
        <v>4</v>
      </c>
      <c r="E158" s="363" t="s">
        <v>1173</v>
      </c>
      <c r="F158" s="363" t="s">
        <v>1174</v>
      </c>
      <c r="G158" s="363" t="s">
        <v>1175</v>
      </c>
    </row>
    <row r="159" spans="1:8">
      <c r="A159" s="364" t="s">
        <v>68</v>
      </c>
      <c r="B159" s="365" t="s">
        <v>1176</v>
      </c>
      <c r="C159" s="365" t="s">
        <v>1177</v>
      </c>
      <c r="D159" s="365" t="s">
        <v>17</v>
      </c>
      <c r="E159" s="365">
        <v>0.72</v>
      </c>
      <c r="F159" s="367">
        <v>-0.42120000000000002</v>
      </c>
      <c r="G159" s="368" t="s">
        <v>29</v>
      </c>
    </row>
    <row r="160" spans="1:8">
      <c r="A160" s="364" t="s">
        <v>68</v>
      </c>
      <c r="B160" s="365" t="s">
        <v>29</v>
      </c>
      <c r="C160" s="365" t="s">
        <v>29</v>
      </c>
      <c r="D160" s="365" t="s">
        <v>19</v>
      </c>
      <c r="E160" s="365" t="s">
        <v>29</v>
      </c>
      <c r="F160" s="366" t="s">
        <v>29</v>
      </c>
      <c r="G160" s="368" t="s">
        <v>29</v>
      </c>
    </row>
    <row r="161" spans="1:7">
      <c r="A161" s="364" t="s">
        <v>71</v>
      </c>
      <c r="B161" s="365" t="s">
        <v>1178</v>
      </c>
      <c r="C161" s="365" t="s">
        <v>1177</v>
      </c>
      <c r="D161" s="365" t="s">
        <v>17</v>
      </c>
      <c r="E161" s="365">
        <v>0.56000000000000005</v>
      </c>
      <c r="F161" s="367">
        <v>-0.74039999999999995</v>
      </c>
      <c r="G161" s="368" t="s">
        <v>29</v>
      </c>
    </row>
    <row r="162" spans="1:7">
      <c r="A162" s="364" t="s">
        <v>71</v>
      </c>
      <c r="B162" s="365" t="s">
        <v>29</v>
      </c>
      <c r="C162" s="365" t="s">
        <v>29</v>
      </c>
      <c r="D162" s="365" t="s">
        <v>19</v>
      </c>
      <c r="E162" s="365" t="s">
        <v>29</v>
      </c>
      <c r="F162" s="366" t="s">
        <v>29</v>
      </c>
      <c r="G162" s="368" t="s">
        <v>29</v>
      </c>
    </row>
    <row r="163" spans="1:7">
      <c r="A163" s="364" t="s">
        <v>74</v>
      </c>
      <c r="B163" s="365" t="s">
        <v>1179</v>
      </c>
      <c r="C163" s="365" t="s">
        <v>1180</v>
      </c>
      <c r="D163" s="365" t="s">
        <v>17</v>
      </c>
      <c r="E163" s="365">
        <v>0.72</v>
      </c>
      <c r="F163" s="367">
        <v>-0.42399999999999999</v>
      </c>
      <c r="G163" s="368" t="s">
        <v>29</v>
      </c>
    </row>
    <row r="164" spans="1:7">
      <c r="A164" s="364" t="s">
        <v>74</v>
      </c>
      <c r="B164" s="365" t="s">
        <v>29</v>
      </c>
      <c r="C164" s="365" t="s">
        <v>29</v>
      </c>
      <c r="D164" s="365" t="s">
        <v>19</v>
      </c>
      <c r="E164" s="365" t="s">
        <v>29</v>
      </c>
      <c r="F164" s="366" t="s">
        <v>29</v>
      </c>
      <c r="G164" s="368" t="s">
        <v>29</v>
      </c>
    </row>
    <row r="165" spans="1:7">
      <c r="A165" s="364" t="s">
        <v>81</v>
      </c>
      <c r="B165" s="365" t="s">
        <v>1181</v>
      </c>
      <c r="C165" s="365" t="s">
        <v>1182</v>
      </c>
      <c r="D165" s="365" t="s">
        <v>17</v>
      </c>
      <c r="E165" s="365">
        <v>0.65</v>
      </c>
      <c r="F165" s="367">
        <v>-0.56440000000000001</v>
      </c>
      <c r="G165" s="368" t="s">
        <v>29</v>
      </c>
    </row>
    <row r="166" spans="1:7">
      <c r="A166" s="364" t="s">
        <v>81</v>
      </c>
      <c r="B166" s="365" t="s">
        <v>29</v>
      </c>
      <c r="C166" s="365" t="s">
        <v>29</v>
      </c>
      <c r="D166" s="365" t="s">
        <v>19</v>
      </c>
      <c r="E166" s="365" t="s">
        <v>29</v>
      </c>
      <c r="F166" s="366" t="s">
        <v>29</v>
      </c>
      <c r="G166" s="368" t="s">
        <v>29</v>
      </c>
    </row>
    <row r="167" spans="1:7">
      <c r="A167" s="364" t="s">
        <v>83</v>
      </c>
      <c r="B167" s="365" t="s">
        <v>1183</v>
      </c>
      <c r="C167" s="365" t="s">
        <v>1184</v>
      </c>
      <c r="D167" s="365" t="s">
        <v>17</v>
      </c>
      <c r="E167" s="365">
        <v>0.7</v>
      </c>
      <c r="F167" s="367">
        <v>-0.45250000000000001</v>
      </c>
      <c r="G167" s="368" t="s">
        <v>29</v>
      </c>
    </row>
    <row r="168" spans="1:7">
      <c r="A168" s="364" t="s">
        <v>83</v>
      </c>
      <c r="B168" s="365" t="s">
        <v>29</v>
      </c>
      <c r="C168" s="365" t="s">
        <v>29</v>
      </c>
      <c r="D168" s="365" t="s">
        <v>19</v>
      </c>
      <c r="E168" s="365" t="s">
        <v>29</v>
      </c>
      <c r="F168" s="366" t="s">
        <v>29</v>
      </c>
      <c r="G168" s="368" t="s">
        <v>29</v>
      </c>
    </row>
    <row r="169" spans="1:7">
      <c r="A169" s="369" t="s">
        <v>29</v>
      </c>
      <c r="B169" s="370" t="s">
        <v>1185</v>
      </c>
      <c r="C169" s="370" t="s">
        <v>1186</v>
      </c>
      <c r="D169" s="370" t="s">
        <v>17</v>
      </c>
      <c r="E169" s="370">
        <v>0.61</v>
      </c>
      <c r="F169" s="372">
        <v>-0.626</v>
      </c>
      <c r="G169" s="373" t="s">
        <v>1187</v>
      </c>
    </row>
    <row r="170" spans="1:7">
      <c r="A170" s="369" t="s">
        <v>29</v>
      </c>
      <c r="B170" s="370" t="s">
        <v>29</v>
      </c>
      <c r="C170" s="370" t="s">
        <v>29</v>
      </c>
      <c r="D170" s="370" t="s">
        <v>19</v>
      </c>
      <c r="E170" s="370" t="s">
        <v>29</v>
      </c>
      <c r="F170" s="371" t="s">
        <v>29</v>
      </c>
      <c r="G170" s="373" t="s">
        <v>29</v>
      </c>
    </row>
    <row r="171" spans="1:7">
      <c r="A171" s="364" t="s">
        <v>27</v>
      </c>
      <c r="B171" s="365" t="s">
        <v>1188</v>
      </c>
      <c r="C171" s="365" t="s">
        <v>1189</v>
      </c>
      <c r="D171" s="365" t="s">
        <v>17</v>
      </c>
      <c r="E171" s="365">
        <v>0.65</v>
      </c>
      <c r="F171" s="367">
        <v>-0.55710000000000004</v>
      </c>
      <c r="G171" s="368" t="s">
        <v>29</v>
      </c>
    </row>
    <row r="172" spans="1:7">
      <c r="A172" s="364" t="s">
        <v>27</v>
      </c>
      <c r="B172" s="365" t="s">
        <v>29</v>
      </c>
      <c r="C172" s="365" t="s">
        <v>29</v>
      </c>
      <c r="D172" s="365" t="s">
        <v>19</v>
      </c>
      <c r="E172" s="365" t="s">
        <v>29</v>
      </c>
      <c r="F172" s="366" t="s">
        <v>29</v>
      </c>
      <c r="G172" s="368" t="s">
        <v>29</v>
      </c>
    </row>
    <row r="173" spans="1:7">
      <c r="A173" s="374" t="s">
        <v>29</v>
      </c>
      <c r="B173" s="370" t="s">
        <v>1190</v>
      </c>
      <c r="C173" s="370" t="s">
        <v>1189</v>
      </c>
      <c r="D173" s="370" t="s">
        <v>17</v>
      </c>
      <c r="E173" s="370">
        <v>0.56000000000000005</v>
      </c>
      <c r="F173" s="372">
        <v>-0.73499999999999999</v>
      </c>
      <c r="G173" s="373" t="s">
        <v>1191</v>
      </c>
    </row>
    <row r="174" spans="1:7">
      <c r="A174" s="375" t="s">
        <v>29</v>
      </c>
      <c r="B174" s="370" t="s">
        <v>29</v>
      </c>
      <c r="C174" s="370" t="s">
        <v>29</v>
      </c>
      <c r="D174" s="370" t="s">
        <v>19</v>
      </c>
      <c r="E174" s="370" t="s">
        <v>29</v>
      </c>
      <c r="F174" s="371" t="s">
        <v>29</v>
      </c>
      <c r="G174" s="373" t="s">
        <v>29</v>
      </c>
    </row>
    <row r="175" spans="1:7">
      <c r="A175" s="374" t="s">
        <v>29</v>
      </c>
      <c r="B175" s="370" t="s">
        <v>1192</v>
      </c>
      <c r="C175" s="370" t="s">
        <v>1193</v>
      </c>
      <c r="D175" s="370" t="s">
        <v>17</v>
      </c>
      <c r="E175" s="370">
        <v>0.55000000000000004</v>
      </c>
      <c r="F175" s="372">
        <v>-0.749</v>
      </c>
      <c r="G175" s="373" t="s">
        <v>1194</v>
      </c>
    </row>
    <row r="176" spans="1:7">
      <c r="A176" s="375" t="s">
        <v>29</v>
      </c>
      <c r="B176" s="370" t="s">
        <v>29</v>
      </c>
      <c r="C176" s="370" t="s">
        <v>29</v>
      </c>
      <c r="D176" s="370" t="s">
        <v>19</v>
      </c>
      <c r="E176" s="370" t="s">
        <v>29</v>
      </c>
      <c r="F176" s="371" t="s">
        <v>29</v>
      </c>
      <c r="G176" s="373" t="s">
        <v>29</v>
      </c>
    </row>
    <row r="177" spans="1:7">
      <c r="A177" s="374" t="s">
        <v>29</v>
      </c>
      <c r="B177" s="370" t="s">
        <v>1111</v>
      </c>
      <c r="C177" s="370" t="s">
        <v>1193</v>
      </c>
      <c r="D177" s="370" t="s">
        <v>17</v>
      </c>
      <c r="E177" s="370">
        <v>0.44</v>
      </c>
      <c r="F177" s="372">
        <v>-0.96099999999999997</v>
      </c>
      <c r="G177" s="373" t="s">
        <v>1195</v>
      </c>
    </row>
    <row r="178" spans="1:7">
      <c r="A178" s="375" t="s">
        <v>29</v>
      </c>
      <c r="B178" s="370" t="s">
        <v>29</v>
      </c>
      <c r="C178" s="370" t="s">
        <v>29</v>
      </c>
      <c r="D178" s="370" t="s">
        <v>19</v>
      </c>
      <c r="E178" s="370" t="s">
        <v>29</v>
      </c>
      <c r="F178" s="371" t="s">
        <v>29</v>
      </c>
      <c r="G178" s="373" t="s">
        <v>29</v>
      </c>
    </row>
    <row r="179" spans="1:7">
      <c r="A179" s="364" t="s">
        <v>31</v>
      </c>
      <c r="B179" s="365" t="s">
        <v>1196</v>
      </c>
      <c r="C179" s="365" t="s">
        <v>1197</v>
      </c>
      <c r="D179" s="365" t="s">
        <v>17</v>
      </c>
      <c r="E179" s="365">
        <v>0.76</v>
      </c>
      <c r="F179" s="367">
        <v>-0.34079999999999999</v>
      </c>
      <c r="G179" s="368" t="s">
        <v>29</v>
      </c>
    </row>
    <row r="180" spans="1:7">
      <c r="A180" s="364" t="s">
        <v>31</v>
      </c>
      <c r="B180" s="365" t="s">
        <v>29</v>
      </c>
      <c r="C180" s="365" t="s">
        <v>29</v>
      </c>
      <c r="D180" s="365" t="s">
        <v>19</v>
      </c>
      <c r="E180" s="365" t="s">
        <v>29</v>
      </c>
      <c r="F180" s="366" t="s">
        <v>29</v>
      </c>
      <c r="G180" s="368" t="s">
        <v>29</v>
      </c>
    </row>
    <row r="181" spans="1:7">
      <c r="A181" s="364" t="s">
        <v>34</v>
      </c>
      <c r="B181" s="365" t="s">
        <v>1198</v>
      </c>
      <c r="C181" s="365" t="s">
        <v>1197</v>
      </c>
      <c r="D181" s="365" t="s">
        <v>17</v>
      </c>
      <c r="E181" s="365">
        <v>0.69</v>
      </c>
      <c r="F181" s="367">
        <v>-0.4798</v>
      </c>
      <c r="G181" s="368" t="s">
        <v>29</v>
      </c>
    </row>
    <row r="182" spans="1:7">
      <c r="A182" s="364" t="s">
        <v>34</v>
      </c>
      <c r="B182" s="365" t="s">
        <v>29</v>
      </c>
      <c r="C182" s="365" t="s">
        <v>29</v>
      </c>
      <c r="D182" s="365" t="s">
        <v>19</v>
      </c>
      <c r="E182" s="365" t="s">
        <v>29</v>
      </c>
      <c r="F182" s="366" t="s">
        <v>29</v>
      </c>
      <c r="G182" s="368" t="s">
        <v>29</v>
      </c>
    </row>
    <row r="183" spans="1:7">
      <c r="A183" s="364" t="s">
        <v>105</v>
      </c>
      <c r="B183" s="376" t="s">
        <v>1199</v>
      </c>
      <c r="C183" s="376" t="s">
        <v>1100</v>
      </c>
      <c r="D183" s="365" t="s">
        <v>17</v>
      </c>
      <c r="E183" s="365">
        <v>0.6</v>
      </c>
      <c r="F183" s="367">
        <v>-0.6573</v>
      </c>
      <c r="G183" s="368" t="s">
        <v>29</v>
      </c>
    </row>
    <row r="184" spans="1:7">
      <c r="A184" s="364" t="s">
        <v>105</v>
      </c>
      <c r="B184" s="365" t="s">
        <v>29</v>
      </c>
      <c r="C184" s="365" t="s">
        <v>29</v>
      </c>
      <c r="D184" s="365" t="s">
        <v>19</v>
      </c>
      <c r="E184" s="365" t="s">
        <v>29</v>
      </c>
      <c r="F184" s="366" t="s">
        <v>29</v>
      </c>
      <c r="G184" s="368" t="s">
        <v>29</v>
      </c>
    </row>
    <row r="185" spans="1:7">
      <c r="A185" s="364" t="s">
        <v>59</v>
      </c>
      <c r="B185" s="376" t="s">
        <v>1200</v>
      </c>
      <c r="C185" s="376" t="s">
        <v>1100</v>
      </c>
      <c r="D185" s="365" t="s">
        <v>17</v>
      </c>
      <c r="E185" s="365">
        <v>0.54</v>
      </c>
      <c r="F185" s="367">
        <v>-0.76219999999999999</v>
      </c>
      <c r="G185" s="368" t="s">
        <v>29</v>
      </c>
    </row>
    <row r="186" spans="1:7">
      <c r="A186" s="364" t="s">
        <v>59</v>
      </c>
      <c r="B186" s="365" t="s">
        <v>29</v>
      </c>
      <c r="C186" s="365" t="s">
        <v>29</v>
      </c>
      <c r="D186" s="365" t="s">
        <v>19</v>
      </c>
      <c r="E186" s="365" t="s">
        <v>29</v>
      </c>
      <c r="F186" s="366" t="s">
        <v>29</v>
      </c>
      <c r="G186" s="368" t="s">
        <v>29</v>
      </c>
    </row>
    <row r="187" spans="1:7">
      <c r="A187" s="364" t="s">
        <v>49</v>
      </c>
      <c r="B187" s="365" t="s">
        <v>1201</v>
      </c>
      <c r="C187" s="365" t="s">
        <v>1202</v>
      </c>
      <c r="D187" s="365" t="s">
        <v>17</v>
      </c>
      <c r="E187" s="365">
        <v>0.66</v>
      </c>
      <c r="F187" s="367">
        <v>-0.54059999999999997</v>
      </c>
      <c r="G187" s="368" t="s">
        <v>29</v>
      </c>
    </row>
    <row r="188" spans="1:7">
      <c r="A188" s="364" t="s">
        <v>49</v>
      </c>
      <c r="B188" s="365" t="s">
        <v>29</v>
      </c>
      <c r="C188" s="365" t="s">
        <v>29</v>
      </c>
      <c r="D188" s="365" t="s">
        <v>19</v>
      </c>
      <c r="E188" s="365" t="s">
        <v>29</v>
      </c>
      <c r="F188" s="366" t="s">
        <v>29</v>
      </c>
      <c r="G188" s="368" t="s">
        <v>29</v>
      </c>
    </row>
    <row r="189" spans="1:7">
      <c r="A189" s="364" t="s">
        <v>52</v>
      </c>
      <c r="B189" s="365" t="s">
        <v>1203</v>
      </c>
      <c r="C189" s="365" t="s">
        <v>1104</v>
      </c>
      <c r="D189" s="365" t="s">
        <v>17</v>
      </c>
      <c r="E189" s="365">
        <v>0.57999999999999996</v>
      </c>
      <c r="F189" s="367">
        <v>-0.68479999999999996</v>
      </c>
      <c r="G189" s="368" t="s">
        <v>29</v>
      </c>
    </row>
    <row r="190" spans="1:7">
      <c r="A190" s="364" t="s">
        <v>52</v>
      </c>
      <c r="B190" s="365" t="s">
        <v>29</v>
      </c>
      <c r="C190" s="365" t="s">
        <v>29</v>
      </c>
      <c r="D190" s="365" t="s">
        <v>19</v>
      </c>
      <c r="E190" s="365" t="s">
        <v>29</v>
      </c>
      <c r="F190" s="366" t="s">
        <v>29</v>
      </c>
      <c r="G190" s="368" t="s">
        <v>29</v>
      </c>
    </row>
    <row r="191" spans="1:7">
      <c r="A191" s="364" t="s">
        <v>55</v>
      </c>
      <c r="B191" s="376" t="s">
        <v>1204</v>
      </c>
      <c r="C191" s="376" t="s">
        <v>1205</v>
      </c>
      <c r="D191" s="365" t="s">
        <v>17</v>
      </c>
      <c r="E191" s="365">
        <v>0.78</v>
      </c>
      <c r="F191" s="367">
        <v>-0.30180000000000001</v>
      </c>
      <c r="G191" s="368" t="s">
        <v>29</v>
      </c>
    </row>
    <row r="192" spans="1:7">
      <c r="A192" s="364" t="s">
        <v>55</v>
      </c>
      <c r="B192" s="365" t="s">
        <v>29</v>
      </c>
      <c r="C192" s="365" t="s">
        <v>29</v>
      </c>
      <c r="D192" s="365" t="s">
        <v>19</v>
      </c>
      <c r="E192" s="365" t="s">
        <v>29</v>
      </c>
      <c r="F192" s="366" t="s">
        <v>29</v>
      </c>
      <c r="G192" s="368" t="s">
        <v>29</v>
      </c>
    </row>
    <row r="193" spans="1:7">
      <c r="A193" s="364" t="s">
        <v>182</v>
      </c>
      <c r="B193" s="376" t="s">
        <v>1206</v>
      </c>
      <c r="C193" s="376" t="s">
        <v>1205</v>
      </c>
      <c r="D193" s="365" t="s">
        <v>17</v>
      </c>
      <c r="E193" s="365">
        <v>0.73</v>
      </c>
      <c r="F193" s="367">
        <v>-0.41339999999999999</v>
      </c>
      <c r="G193" s="368" t="s">
        <v>29</v>
      </c>
    </row>
    <row r="194" spans="1:7">
      <c r="A194" s="364" t="s">
        <v>182</v>
      </c>
      <c r="B194" s="365" t="s">
        <v>29</v>
      </c>
      <c r="C194" s="365" t="s">
        <v>29</v>
      </c>
      <c r="D194" s="365" t="s">
        <v>19</v>
      </c>
      <c r="E194" s="365" t="s">
        <v>29</v>
      </c>
      <c r="F194" s="366" t="s">
        <v>29</v>
      </c>
      <c r="G194" s="368" t="s">
        <v>29</v>
      </c>
    </row>
    <row r="195" spans="1:7">
      <c r="A195" s="364" t="s">
        <v>185</v>
      </c>
      <c r="B195" s="376" t="s">
        <v>1207</v>
      </c>
      <c r="C195" s="376" t="s">
        <v>1102</v>
      </c>
      <c r="D195" s="365" t="s">
        <v>17</v>
      </c>
      <c r="E195" s="365">
        <v>0.8</v>
      </c>
      <c r="F195" s="367">
        <v>-0.26219999999999999</v>
      </c>
      <c r="G195" s="368" t="s">
        <v>29</v>
      </c>
    </row>
    <row r="196" spans="1:7">
      <c r="A196" s="364" t="s">
        <v>185</v>
      </c>
      <c r="B196" s="365" t="s">
        <v>29</v>
      </c>
      <c r="C196" s="365" t="s">
        <v>29</v>
      </c>
      <c r="D196" s="365" t="s">
        <v>19</v>
      </c>
      <c r="E196" s="365" t="s">
        <v>29</v>
      </c>
      <c r="F196" s="366" t="s">
        <v>29</v>
      </c>
      <c r="G196" s="368" t="s">
        <v>29</v>
      </c>
    </row>
    <row r="197" spans="1:7">
      <c r="A197" s="364" t="s">
        <v>100</v>
      </c>
      <c r="B197" s="376" t="s">
        <v>1208</v>
      </c>
      <c r="C197" s="376" t="s">
        <v>1102</v>
      </c>
      <c r="D197" s="365" t="s">
        <v>17</v>
      </c>
      <c r="E197" s="365">
        <v>0.81</v>
      </c>
      <c r="F197" s="367">
        <v>-0.246</v>
      </c>
      <c r="G197" s="368" t="s">
        <v>29</v>
      </c>
    </row>
    <row r="198" spans="1:7">
      <c r="A198" s="364" t="s">
        <v>100</v>
      </c>
      <c r="B198" s="365" t="s">
        <v>29</v>
      </c>
      <c r="C198" s="365" t="s">
        <v>29</v>
      </c>
      <c r="D198" s="365" t="s">
        <v>19</v>
      </c>
      <c r="E198" s="365" t="s">
        <v>29</v>
      </c>
      <c r="F198" s="366" t="s">
        <v>29</v>
      </c>
      <c r="G198" s="368" t="s">
        <v>29</v>
      </c>
    </row>
    <row r="200" spans="1:7">
      <c r="B200" s="377" t="s">
        <v>1209</v>
      </c>
      <c r="C200" s="378" t="s">
        <v>1210</v>
      </c>
      <c r="D200" s="378" t="s">
        <v>4</v>
      </c>
      <c r="E200" s="378" t="s">
        <v>6</v>
      </c>
      <c r="F200" s="378" t="s">
        <v>1211</v>
      </c>
    </row>
    <row r="201" spans="1:7">
      <c r="A201" s="51" t="s">
        <v>1212</v>
      </c>
      <c r="B201" s="379" t="s">
        <v>1213</v>
      </c>
      <c r="C201" s="380">
        <v>1</v>
      </c>
      <c r="D201" s="380" t="s">
        <v>17</v>
      </c>
      <c r="E201" s="380">
        <v>0.76</v>
      </c>
      <c r="F201" s="382">
        <v>-0.34499999999999997</v>
      </c>
    </row>
    <row r="202" spans="1:7">
      <c r="B202" s="379" t="s">
        <v>29</v>
      </c>
      <c r="C202" s="380" t="s">
        <v>29</v>
      </c>
      <c r="D202" s="380" t="s">
        <v>19</v>
      </c>
      <c r="E202" s="380" t="s">
        <v>29</v>
      </c>
      <c r="F202" s="381" t="s">
        <v>29</v>
      </c>
    </row>
    <row r="203" spans="1:7">
      <c r="B203" s="379" t="s">
        <v>1190</v>
      </c>
      <c r="C203" s="380">
        <v>3</v>
      </c>
      <c r="D203" s="380" t="s">
        <v>17</v>
      </c>
      <c r="E203" s="380">
        <v>0.56000000000000005</v>
      </c>
      <c r="F203" s="382">
        <v>-0.73499999999999999</v>
      </c>
    </row>
    <row r="204" spans="1:7">
      <c r="B204" s="379" t="s">
        <v>29</v>
      </c>
      <c r="C204" s="380" t="s">
        <v>29</v>
      </c>
      <c r="D204" s="380" t="s">
        <v>19</v>
      </c>
      <c r="E204" s="380" t="s">
        <v>29</v>
      </c>
      <c r="F204" s="381" t="s">
        <v>29</v>
      </c>
    </row>
    <row r="205" spans="1:7">
      <c r="B205" s="379" t="s">
        <v>1214</v>
      </c>
      <c r="C205" s="380">
        <v>4</v>
      </c>
      <c r="D205" s="380" t="s">
        <v>17</v>
      </c>
      <c r="E205" s="380">
        <v>0.51</v>
      </c>
      <c r="F205" s="382">
        <v>-0.83499999999999996</v>
      </c>
    </row>
    <row r="206" spans="1:7">
      <c r="B206" s="379" t="s">
        <v>29</v>
      </c>
      <c r="C206" s="380" t="s">
        <v>29</v>
      </c>
      <c r="D206" s="380" t="s">
        <v>19</v>
      </c>
      <c r="E206" s="380" t="s">
        <v>29</v>
      </c>
      <c r="F206" s="381" t="s">
        <v>29</v>
      </c>
    </row>
    <row r="207" spans="1:7">
      <c r="A207" s="51" t="s">
        <v>1215</v>
      </c>
      <c r="B207" s="379" t="s">
        <v>1216</v>
      </c>
      <c r="C207" s="380">
        <v>5</v>
      </c>
      <c r="D207" s="380" t="s">
        <v>17</v>
      </c>
      <c r="E207" s="380">
        <v>0.72</v>
      </c>
      <c r="F207" s="382">
        <v>-0.42799999999999999</v>
      </c>
    </row>
    <row r="208" spans="1:7">
      <c r="B208" s="379" t="s">
        <v>29</v>
      </c>
      <c r="C208" s="380" t="s">
        <v>29</v>
      </c>
      <c r="D208" s="380" t="s">
        <v>19</v>
      </c>
      <c r="E208" s="380" t="s">
        <v>29</v>
      </c>
      <c r="F208" s="381" t="s">
        <v>29</v>
      </c>
    </row>
    <row r="209" spans="1:6">
      <c r="B209" s="379" t="s">
        <v>1192</v>
      </c>
      <c r="C209" s="380">
        <v>6</v>
      </c>
      <c r="D209" s="380" t="s">
        <v>17</v>
      </c>
      <c r="E209" s="380">
        <v>0.55000000000000004</v>
      </c>
      <c r="F209" s="382">
        <v>-0.749</v>
      </c>
    </row>
    <row r="210" spans="1:6">
      <c r="B210" s="379" t="s">
        <v>29</v>
      </c>
      <c r="C210" s="380" t="s">
        <v>29</v>
      </c>
      <c r="D210" s="380" t="s">
        <v>19</v>
      </c>
      <c r="E210" s="380" t="s">
        <v>29</v>
      </c>
      <c r="F210" s="381" t="s">
        <v>29</v>
      </c>
    </row>
    <row r="211" spans="1:6">
      <c r="B211" s="379" t="s">
        <v>1111</v>
      </c>
      <c r="C211" s="380">
        <v>7</v>
      </c>
      <c r="D211" s="380" t="s">
        <v>17</v>
      </c>
      <c r="E211" s="380">
        <v>0.44</v>
      </c>
      <c r="F211" s="382">
        <v>-0.96099999999999997</v>
      </c>
    </row>
    <row r="212" spans="1:6">
      <c r="B212" s="379" t="s">
        <v>29</v>
      </c>
      <c r="C212" s="380" t="s">
        <v>29</v>
      </c>
      <c r="D212" s="380" t="s">
        <v>19</v>
      </c>
      <c r="E212" s="380" t="s">
        <v>29</v>
      </c>
      <c r="F212" s="381" t="s">
        <v>29</v>
      </c>
    </row>
    <row r="213" spans="1:6">
      <c r="B213" s="379" t="s">
        <v>1217</v>
      </c>
      <c r="C213" s="380">
        <v>8</v>
      </c>
      <c r="D213" s="380" t="s">
        <v>17</v>
      </c>
      <c r="E213" s="380">
        <v>0.44</v>
      </c>
      <c r="F213" s="382">
        <v>-0.96299999999999997</v>
      </c>
    </row>
    <row r="214" spans="1:6">
      <c r="B214" s="379" t="s">
        <v>29</v>
      </c>
      <c r="C214" s="380" t="s">
        <v>29</v>
      </c>
      <c r="D214" s="380" t="s">
        <v>19</v>
      </c>
      <c r="E214" s="380" t="s">
        <v>29</v>
      </c>
      <c r="F214" s="381" t="s">
        <v>29</v>
      </c>
    </row>
    <row r="215" spans="1:6">
      <c r="A215" s="51" t="s">
        <v>1218</v>
      </c>
      <c r="B215" s="379" t="s">
        <v>1219</v>
      </c>
      <c r="C215" s="380">
        <v>9</v>
      </c>
      <c r="D215" s="380" t="s">
        <v>17</v>
      </c>
      <c r="E215" s="380">
        <v>0.7</v>
      </c>
      <c r="F215" s="382">
        <v>-0.45500000000000002</v>
      </c>
    </row>
    <row r="216" spans="1:6">
      <c r="B216" s="379" t="s">
        <v>29</v>
      </c>
      <c r="C216" s="380" t="s">
        <v>29</v>
      </c>
      <c r="D216" s="380" t="s">
        <v>19</v>
      </c>
      <c r="E216" s="380" t="s">
        <v>29</v>
      </c>
      <c r="F216" s="381" t="s">
        <v>29</v>
      </c>
    </row>
    <row r="217" spans="1:6">
      <c r="B217" s="379" t="s">
        <v>1220</v>
      </c>
      <c r="C217" s="380">
        <v>10</v>
      </c>
      <c r="D217" s="380" t="s">
        <v>17</v>
      </c>
      <c r="E217" s="380">
        <v>0.71</v>
      </c>
      <c r="F217" s="382">
        <v>-0.441</v>
      </c>
    </row>
    <row r="218" spans="1:6">
      <c r="B218" s="379" t="s">
        <v>29</v>
      </c>
      <c r="C218" s="380" t="s">
        <v>29</v>
      </c>
      <c r="D218" s="380" t="s">
        <v>19</v>
      </c>
      <c r="E218" s="380" t="s">
        <v>29</v>
      </c>
      <c r="F218" s="381" t="s">
        <v>29</v>
      </c>
    </row>
    <row r="219" spans="1:6">
      <c r="B219" s="379" t="s">
        <v>1221</v>
      </c>
      <c r="C219" s="380">
        <v>11</v>
      </c>
      <c r="D219" s="380" t="s">
        <v>17</v>
      </c>
      <c r="E219" s="380">
        <v>0.66</v>
      </c>
      <c r="F219" s="382">
        <v>-0.54300000000000004</v>
      </c>
    </row>
    <row r="220" spans="1:6">
      <c r="B220" s="379" t="s">
        <v>29</v>
      </c>
      <c r="C220" s="380" t="s">
        <v>29</v>
      </c>
      <c r="D220" s="380" t="s">
        <v>19</v>
      </c>
      <c r="E220" s="380" t="s">
        <v>29</v>
      </c>
      <c r="F220" s="381" t="s">
        <v>29</v>
      </c>
    </row>
    <row r="221" spans="1:6">
      <c r="A221" s="51" t="s">
        <v>1222</v>
      </c>
      <c r="B221" s="379" t="s">
        <v>1223</v>
      </c>
      <c r="C221" s="380">
        <v>12</v>
      </c>
      <c r="D221" s="380" t="s">
        <v>17</v>
      </c>
      <c r="E221" s="380">
        <v>0.74</v>
      </c>
      <c r="F221" s="382">
        <v>-0.39</v>
      </c>
    </row>
    <row r="222" spans="1:6">
      <c r="B222" s="379" t="s">
        <v>29</v>
      </c>
      <c r="C222" s="380" t="s">
        <v>29</v>
      </c>
      <c r="D222" s="380" t="s">
        <v>19</v>
      </c>
      <c r="E222" s="380" t="s">
        <v>29</v>
      </c>
      <c r="F222" s="381" t="s">
        <v>29</v>
      </c>
    </row>
    <row r="223" spans="1:6">
      <c r="A223" s="51" t="s">
        <v>1222</v>
      </c>
      <c r="B223" s="379" t="s">
        <v>1183</v>
      </c>
      <c r="C223" s="380">
        <v>13</v>
      </c>
      <c r="D223" s="380" t="s">
        <v>17</v>
      </c>
      <c r="E223" s="380">
        <v>0.66</v>
      </c>
      <c r="F223" s="382">
        <v>-0.52900000000000003</v>
      </c>
    </row>
    <row r="224" spans="1:6">
      <c r="B224" s="379" t="s">
        <v>29</v>
      </c>
      <c r="C224" s="380" t="s">
        <v>29</v>
      </c>
      <c r="D224" s="380" t="s">
        <v>19</v>
      </c>
      <c r="E224" s="380" t="s">
        <v>29</v>
      </c>
      <c r="F224" s="381" t="s">
        <v>29</v>
      </c>
    </row>
    <row r="225" spans="1:6">
      <c r="A225" s="51" t="s">
        <v>1222</v>
      </c>
      <c r="B225" s="379" t="s">
        <v>1185</v>
      </c>
      <c r="C225" s="380">
        <v>14</v>
      </c>
      <c r="D225" s="380" t="s">
        <v>17</v>
      </c>
      <c r="E225" s="380">
        <v>0.61</v>
      </c>
      <c r="F225" s="382">
        <v>-0.626</v>
      </c>
    </row>
    <row r="226" spans="1:6">
      <c r="B226" s="379" t="s">
        <v>29</v>
      </c>
      <c r="C226" s="380" t="s">
        <v>29</v>
      </c>
      <c r="D226" s="380" t="s">
        <v>19</v>
      </c>
      <c r="E226" s="380" t="s">
        <v>29</v>
      </c>
      <c r="F226" s="381" t="s">
        <v>29</v>
      </c>
    </row>
    <row r="227" spans="1:6">
      <c r="A227" s="51" t="s">
        <v>1224</v>
      </c>
      <c r="B227" s="379" t="s">
        <v>1225</v>
      </c>
      <c r="C227" s="380">
        <v>15</v>
      </c>
      <c r="D227" s="380" t="s">
        <v>17</v>
      </c>
      <c r="E227" s="380">
        <v>0.72</v>
      </c>
      <c r="F227" s="382">
        <v>-0.42599999999999999</v>
      </c>
    </row>
    <row r="228" spans="1:6">
      <c r="B228" s="379" t="s">
        <v>29</v>
      </c>
      <c r="C228" s="380" t="s">
        <v>29</v>
      </c>
      <c r="D228" s="380" t="s">
        <v>19</v>
      </c>
      <c r="E228" s="380" t="s">
        <v>29</v>
      </c>
      <c r="F228" s="381" t="s">
        <v>29</v>
      </c>
    </row>
    <row r="229" spans="1:6">
      <c r="B229" s="379" t="s">
        <v>1226</v>
      </c>
      <c r="C229" s="380">
        <v>16</v>
      </c>
      <c r="D229" s="380" t="s">
        <v>17</v>
      </c>
      <c r="E229" s="380">
        <v>0.75</v>
      </c>
      <c r="F229" s="382">
        <v>-0.36299999999999999</v>
      </c>
    </row>
    <row r="230" spans="1:6">
      <c r="B230" s="379" t="s">
        <v>29</v>
      </c>
      <c r="C230" s="380" t="s">
        <v>29</v>
      </c>
      <c r="D230" s="380" t="s">
        <v>19</v>
      </c>
      <c r="E230" s="380" t="s">
        <v>29</v>
      </c>
      <c r="F230" s="381" t="s">
        <v>29</v>
      </c>
    </row>
    <row r="231" spans="1:6">
      <c r="B231" s="379" t="s">
        <v>1227</v>
      </c>
      <c r="C231" s="380">
        <v>17</v>
      </c>
      <c r="D231" s="380" t="s">
        <v>17</v>
      </c>
      <c r="E231" s="380">
        <v>0.61</v>
      </c>
      <c r="F231" s="382">
        <v>-0.63200000000000001</v>
      </c>
    </row>
    <row r="232" spans="1:6">
      <c r="B232" s="379" t="s">
        <v>29</v>
      </c>
      <c r="C232" s="380" t="s">
        <v>29</v>
      </c>
      <c r="D232" s="380" t="s">
        <v>19</v>
      </c>
      <c r="E232" s="380" t="s">
        <v>29</v>
      </c>
      <c r="F232" s="381" t="s">
        <v>29</v>
      </c>
    </row>
    <row r="233" spans="1:6">
      <c r="A233" s="51" t="s">
        <v>1228</v>
      </c>
      <c r="B233" s="379" t="s">
        <v>1229</v>
      </c>
      <c r="C233" s="380">
        <v>18</v>
      </c>
      <c r="D233" s="380" t="s">
        <v>17</v>
      </c>
      <c r="E233" s="380">
        <v>0.75</v>
      </c>
      <c r="F233" s="382">
        <v>-0.36499999999999999</v>
      </c>
    </row>
    <row r="234" spans="1:6">
      <c r="B234" s="379" t="s">
        <v>29</v>
      </c>
      <c r="C234" s="380" t="s">
        <v>29</v>
      </c>
      <c r="D234" s="380" t="s">
        <v>19</v>
      </c>
      <c r="E234" s="380" t="s">
        <v>29</v>
      </c>
      <c r="F234" s="381" t="s">
        <v>29</v>
      </c>
    </row>
    <row r="235" spans="1:6">
      <c r="B235" s="379" t="s">
        <v>1230</v>
      </c>
      <c r="C235" s="380">
        <v>20</v>
      </c>
      <c r="D235" s="380" t="s">
        <v>17</v>
      </c>
      <c r="E235" s="380">
        <v>0.59</v>
      </c>
      <c r="F235" s="382">
        <v>-0.66500000000000004</v>
      </c>
    </row>
    <row r="236" spans="1:6">
      <c r="B236" s="379" t="s">
        <v>29</v>
      </c>
      <c r="C236" s="380" t="s">
        <v>29</v>
      </c>
      <c r="D236" s="380" t="s">
        <v>19</v>
      </c>
      <c r="E236" s="380" t="s">
        <v>29</v>
      </c>
      <c r="F236" s="381" t="s">
        <v>29</v>
      </c>
    </row>
    <row r="237" spans="1:6">
      <c r="A237" s="51" t="s">
        <v>1231</v>
      </c>
      <c r="B237" s="379" t="s">
        <v>1232</v>
      </c>
      <c r="C237" s="380">
        <v>21</v>
      </c>
      <c r="D237" s="380" t="s">
        <v>17</v>
      </c>
      <c r="E237" s="380">
        <v>0.83</v>
      </c>
      <c r="F237" s="382">
        <v>-0.21</v>
      </c>
    </row>
    <row r="238" spans="1:6">
      <c r="B238" s="379" t="s">
        <v>29</v>
      </c>
      <c r="C238" s="380" t="s">
        <v>29</v>
      </c>
      <c r="D238" s="380" t="s">
        <v>19</v>
      </c>
      <c r="E238" s="380" t="s">
        <v>29</v>
      </c>
      <c r="F238" s="381" t="s">
        <v>29</v>
      </c>
    </row>
    <row r="239" spans="1:6">
      <c r="B239" s="379" t="s">
        <v>1233</v>
      </c>
      <c r="C239" s="380">
        <v>22</v>
      </c>
      <c r="D239" s="380" t="s">
        <v>17</v>
      </c>
      <c r="E239" s="380">
        <v>0.72</v>
      </c>
      <c r="F239" s="382">
        <v>-0.42399999999999999</v>
      </c>
    </row>
    <row r="240" spans="1:6">
      <c r="B240" s="379" t="s">
        <v>29</v>
      </c>
      <c r="C240" s="380" t="s">
        <v>29</v>
      </c>
      <c r="D240" s="380" t="s">
        <v>19</v>
      </c>
      <c r="E240" s="380" t="s">
        <v>29</v>
      </c>
      <c r="F240" s="381" t="s">
        <v>29</v>
      </c>
    </row>
    <row r="241" spans="1:8">
      <c r="B241" s="379" t="s">
        <v>1234</v>
      </c>
      <c r="C241" s="380">
        <v>23</v>
      </c>
      <c r="D241" s="380" t="s">
        <v>17</v>
      </c>
      <c r="E241" s="380">
        <v>0.59</v>
      </c>
      <c r="F241" s="382">
        <v>-0.67800000000000005</v>
      </c>
    </row>
    <row r="242" spans="1:8">
      <c r="B242" s="379" t="s">
        <v>29</v>
      </c>
      <c r="C242" s="380" t="s">
        <v>29</v>
      </c>
      <c r="D242" s="380" t="s">
        <v>19</v>
      </c>
      <c r="E242" s="380" t="s">
        <v>29</v>
      </c>
      <c r="F242" s="381" t="s">
        <v>29</v>
      </c>
    </row>
    <row r="243" spans="1:8">
      <c r="A243" s="51" t="s">
        <v>1235</v>
      </c>
      <c r="B243" s="379" t="s">
        <v>1236</v>
      </c>
      <c r="C243" s="380">
        <v>24</v>
      </c>
      <c r="D243" s="380" t="s">
        <v>17</v>
      </c>
      <c r="E243" s="380">
        <v>0.76</v>
      </c>
      <c r="F243" s="382">
        <v>-0.34799999999999998</v>
      </c>
    </row>
    <row r="244" spans="1:8">
      <c r="B244" s="379" t="s">
        <v>29</v>
      </c>
      <c r="C244" s="380" t="s">
        <v>29</v>
      </c>
      <c r="D244" s="380" t="s">
        <v>19</v>
      </c>
      <c r="E244" s="380" t="s">
        <v>29</v>
      </c>
      <c r="F244" s="381" t="s">
        <v>29</v>
      </c>
    </row>
    <row r="245" spans="1:8">
      <c r="B245" s="379" t="s">
        <v>1237</v>
      </c>
      <c r="C245" s="380">
        <v>25</v>
      </c>
      <c r="D245" s="380" t="s">
        <v>17</v>
      </c>
      <c r="E245" s="380">
        <v>0.79</v>
      </c>
      <c r="F245" s="382">
        <v>-0.29499999999999998</v>
      </c>
    </row>
    <row r="246" spans="1:8">
      <c r="B246" s="379" t="s">
        <v>29</v>
      </c>
      <c r="C246" s="380" t="s">
        <v>29</v>
      </c>
      <c r="D246" s="380" t="s">
        <v>19</v>
      </c>
      <c r="E246" s="380" t="s">
        <v>29</v>
      </c>
      <c r="F246" s="381" t="s">
        <v>29</v>
      </c>
    </row>
    <row r="247" spans="1:8">
      <c r="B247" s="379" t="s">
        <v>1238</v>
      </c>
      <c r="C247" s="380">
        <v>26</v>
      </c>
      <c r="D247" s="380" t="s">
        <v>17</v>
      </c>
      <c r="E247" s="380">
        <v>0.97</v>
      </c>
      <c r="F247" s="384">
        <v>6.0999999999999999E-2</v>
      </c>
    </row>
    <row r="248" spans="1:8">
      <c r="B248" s="379" t="s">
        <v>29</v>
      </c>
      <c r="C248" s="380" t="s">
        <v>29</v>
      </c>
      <c r="D248" s="380" t="s">
        <v>19</v>
      </c>
      <c r="E248" s="380" t="s">
        <v>29</v>
      </c>
      <c r="F248" s="383" t="s">
        <v>29</v>
      </c>
    </row>
    <row r="249" spans="1:8">
      <c r="A249" s="51" t="s">
        <v>1239</v>
      </c>
      <c r="B249" s="379" t="s">
        <v>1240</v>
      </c>
      <c r="C249" s="380">
        <v>27</v>
      </c>
      <c r="D249" s="380" t="s">
        <v>17</v>
      </c>
      <c r="E249" s="380">
        <v>0.75</v>
      </c>
      <c r="F249" s="382">
        <v>-0.36799999999999999</v>
      </c>
    </row>
    <row r="250" spans="1:8">
      <c r="B250" s="379" t="s">
        <v>29</v>
      </c>
      <c r="C250" s="380" t="s">
        <v>29</v>
      </c>
      <c r="D250" s="380" t="s">
        <v>19</v>
      </c>
      <c r="E250" s="380" t="s">
        <v>29</v>
      </c>
      <c r="F250" s="381" t="s">
        <v>29</v>
      </c>
    </row>
    <row r="251" spans="1:8">
      <c r="B251" s="379" t="s">
        <v>1241</v>
      </c>
      <c r="C251" s="380">
        <v>28</v>
      </c>
      <c r="D251" s="380" t="s">
        <v>17</v>
      </c>
      <c r="E251" s="380">
        <v>0.62</v>
      </c>
      <c r="F251" s="382">
        <v>-0.61599999999999999</v>
      </c>
    </row>
    <row r="252" spans="1:8">
      <c r="B252" s="379" t="s">
        <v>29</v>
      </c>
      <c r="C252" s="380" t="s">
        <v>29</v>
      </c>
      <c r="D252" s="380" t="s">
        <v>19</v>
      </c>
      <c r="E252" s="380" t="s">
        <v>29</v>
      </c>
      <c r="F252" s="381" t="s">
        <v>29</v>
      </c>
    </row>
    <row r="253" spans="1:8">
      <c r="B253" s="379" t="s">
        <v>1242</v>
      </c>
      <c r="C253" s="380">
        <v>29</v>
      </c>
      <c r="D253" s="380" t="s">
        <v>17</v>
      </c>
      <c r="E253" s="380">
        <v>0.56000000000000005</v>
      </c>
      <c r="F253" s="382">
        <v>-0.74</v>
      </c>
    </row>
    <row r="254" spans="1:8">
      <c r="B254" s="379" t="s">
        <v>29</v>
      </c>
      <c r="C254" s="380" t="s">
        <v>29</v>
      </c>
      <c r="D254" s="380" t="s">
        <v>19</v>
      </c>
      <c r="E254" s="380" t="s">
        <v>29</v>
      </c>
      <c r="F254" s="381" t="s">
        <v>29</v>
      </c>
    </row>
    <row r="256" spans="1:8">
      <c r="A256" s="385" t="s">
        <v>1243</v>
      </c>
      <c r="B256" s="386" t="s">
        <v>1209</v>
      </c>
      <c r="C256" s="386" t="s">
        <v>1244</v>
      </c>
      <c r="D256" s="386" t="s">
        <v>0</v>
      </c>
      <c r="E256" s="387" t="s">
        <v>4</v>
      </c>
      <c r="F256" s="387" t="s">
        <v>5</v>
      </c>
      <c r="G256" s="378" t="s">
        <v>6</v>
      </c>
      <c r="H256" s="388" t="s">
        <v>7</v>
      </c>
    </row>
    <row r="257" spans="1:8">
      <c r="A257" s="379">
        <v>1</v>
      </c>
      <c r="B257" s="380" t="s">
        <v>1245</v>
      </c>
      <c r="C257" s="380" t="s">
        <v>38</v>
      </c>
      <c r="D257" s="380" t="s">
        <v>1165</v>
      </c>
      <c r="E257" s="380" t="s">
        <v>17</v>
      </c>
      <c r="F257" s="380">
        <v>17.503</v>
      </c>
      <c r="G257" s="380">
        <v>0.76459025000000003</v>
      </c>
      <c r="H257" s="389">
        <v>-0.33700000000000002</v>
      </c>
    </row>
    <row r="258" spans="1:8">
      <c r="A258" s="379">
        <v>1</v>
      </c>
      <c r="B258" s="380" t="s">
        <v>29</v>
      </c>
      <c r="C258" s="380" t="s">
        <v>29</v>
      </c>
      <c r="D258" s="380" t="s">
        <v>29</v>
      </c>
      <c r="E258" s="380" t="s">
        <v>19</v>
      </c>
      <c r="F258" s="380">
        <v>22.891999999999999</v>
      </c>
      <c r="G258" s="380" t="s">
        <v>29</v>
      </c>
      <c r="H258" s="380" t="s">
        <v>29</v>
      </c>
    </row>
    <row r="259" spans="1:8">
      <c r="A259" s="379">
        <v>2</v>
      </c>
      <c r="B259" s="368" t="s">
        <v>1246</v>
      </c>
      <c r="C259" s="380" t="s">
        <v>21</v>
      </c>
      <c r="D259" s="380" t="s">
        <v>1165</v>
      </c>
      <c r="E259" s="380" t="s">
        <v>17</v>
      </c>
      <c r="F259" s="380">
        <v>16.809999999999999</v>
      </c>
      <c r="G259" s="380">
        <v>0.81262689700000001</v>
      </c>
      <c r="H259" s="389">
        <v>-0.245</v>
      </c>
    </row>
    <row r="260" spans="1:8">
      <c r="A260" s="379">
        <v>2</v>
      </c>
      <c r="B260" s="380" t="s">
        <v>29</v>
      </c>
      <c r="C260" s="380" t="s">
        <v>29</v>
      </c>
      <c r="D260" s="380" t="s">
        <v>29</v>
      </c>
      <c r="E260" s="380" t="s">
        <v>19</v>
      </c>
      <c r="F260" s="380">
        <v>20.686</v>
      </c>
      <c r="G260" s="380" t="s">
        <v>29</v>
      </c>
      <c r="H260" s="380" t="s">
        <v>29</v>
      </c>
    </row>
    <row r="261" spans="1:8">
      <c r="A261" s="379">
        <v>3</v>
      </c>
      <c r="B261" s="380" t="s">
        <v>1247</v>
      </c>
      <c r="C261" s="380" t="s">
        <v>45</v>
      </c>
      <c r="D261" s="380" t="s">
        <v>1165</v>
      </c>
      <c r="E261" s="380" t="s">
        <v>17</v>
      </c>
      <c r="F261" s="380">
        <v>16.873999999999999</v>
      </c>
      <c r="G261" s="380">
        <v>0.84285714300000003</v>
      </c>
      <c r="H261" s="389">
        <v>-0.187</v>
      </c>
    </row>
    <row r="262" spans="1:8">
      <c r="A262" s="379">
        <v>3</v>
      </c>
      <c r="B262" s="380" t="s">
        <v>29</v>
      </c>
      <c r="C262" s="380" t="s">
        <v>29</v>
      </c>
      <c r="D262" s="380" t="s">
        <v>29</v>
      </c>
      <c r="E262" s="380" t="s">
        <v>19</v>
      </c>
      <c r="F262" s="380">
        <v>20.02</v>
      </c>
      <c r="G262" s="380" t="s">
        <v>29</v>
      </c>
      <c r="H262" s="380" t="s">
        <v>29</v>
      </c>
    </row>
    <row r="263" spans="1:8">
      <c r="A263" s="379">
        <v>4</v>
      </c>
      <c r="B263" s="380" t="s">
        <v>1248</v>
      </c>
      <c r="C263" s="380" t="s">
        <v>45</v>
      </c>
      <c r="D263" s="380" t="s">
        <v>1249</v>
      </c>
      <c r="E263" s="380" t="s">
        <v>17</v>
      </c>
      <c r="F263" s="380">
        <v>15.141999999999999</v>
      </c>
      <c r="G263" s="380">
        <v>0.40487713600000003</v>
      </c>
      <c r="H263" s="389">
        <v>-1.0289999999999999</v>
      </c>
    </row>
    <row r="264" spans="1:8">
      <c r="A264" s="379">
        <v>4</v>
      </c>
      <c r="B264" s="380" t="s">
        <v>29</v>
      </c>
      <c r="C264" s="380" t="s">
        <v>29</v>
      </c>
      <c r="D264" s="380" t="s">
        <v>29</v>
      </c>
      <c r="E264" s="380" t="s">
        <v>19</v>
      </c>
      <c r="F264" s="380">
        <v>37.399000000000001</v>
      </c>
      <c r="G264" s="380" t="s">
        <v>29</v>
      </c>
      <c r="H264" s="380" t="s">
        <v>29</v>
      </c>
    </row>
    <row r="265" spans="1:8">
      <c r="A265" s="379">
        <v>5</v>
      </c>
      <c r="B265" s="380" t="s">
        <v>1250</v>
      </c>
      <c r="C265" s="380" t="s">
        <v>38</v>
      </c>
      <c r="D265" s="380" t="s">
        <v>1251</v>
      </c>
      <c r="E265" s="380" t="s">
        <v>17</v>
      </c>
      <c r="F265" s="380">
        <v>18.681000000000001</v>
      </c>
      <c r="G265" s="380">
        <v>0.75494039199999996</v>
      </c>
      <c r="H265" s="389">
        <v>-0.35599999999999998</v>
      </c>
    </row>
    <row r="266" spans="1:8">
      <c r="A266" s="379">
        <v>5</v>
      </c>
      <c r="B266" s="380" t="s">
        <v>29</v>
      </c>
      <c r="C266" s="380" t="s">
        <v>29</v>
      </c>
      <c r="D266" s="380" t="s">
        <v>29</v>
      </c>
      <c r="E266" s="380" t="s">
        <v>19</v>
      </c>
      <c r="F266" s="380">
        <v>24.745000000000001</v>
      </c>
      <c r="G266" s="380" t="s">
        <v>29</v>
      </c>
      <c r="H266" s="380" t="s">
        <v>29</v>
      </c>
    </row>
    <row r="267" spans="1:8">
      <c r="A267" s="379">
        <v>6</v>
      </c>
      <c r="B267" s="368" t="s">
        <v>1252</v>
      </c>
      <c r="C267" s="380" t="s">
        <v>38</v>
      </c>
      <c r="D267" s="380" t="s">
        <v>1251</v>
      </c>
      <c r="E267" s="380" t="s">
        <v>17</v>
      </c>
      <c r="F267" s="380">
        <v>18.408999999999999</v>
      </c>
      <c r="G267" s="380">
        <v>0.76420772999999997</v>
      </c>
      <c r="H267" s="389">
        <v>-0.33800000000000002</v>
      </c>
    </row>
    <row r="268" spans="1:8">
      <c r="A268" s="379">
        <v>6</v>
      </c>
      <c r="B268" s="380" t="s">
        <v>29</v>
      </c>
      <c r="C268" s="380" t="s">
        <v>29</v>
      </c>
      <c r="D268" s="380" t="s">
        <v>29</v>
      </c>
      <c r="E268" s="380" t="s">
        <v>19</v>
      </c>
      <c r="F268" s="380">
        <v>24.088999999999999</v>
      </c>
      <c r="G268" s="380" t="s">
        <v>29</v>
      </c>
      <c r="H268" s="380" t="s">
        <v>29</v>
      </c>
    </row>
    <row r="269" spans="1:8">
      <c r="A269" s="379">
        <v>7</v>
      </c>
      <c r="B269" s="380" t="s">
        <v>1253</v>
      </c>
      <c r="C269" s="380" t="s">
        <v>38</v>
      </c>
      <c r="D269" s="380" t="s">
        <v>1164</v>
      </c>
      <c r="E269" s="380" t="s">
        <v>17</v>
      </c>
      <c r="F269" s="380">
        <v>18.117000000000001</v>
      </c>
      <c r="G269" s="380">
        <v>0.79800026400000001</v>
      </c>
      <c r="H269" s="389">
        <v>-0.27300000000000002</v>
      </c>
    </row>
    <row r="270" spans="1:8">
      <c r="A270" s="379">
        <v>7</v>
      </c>
      <c r="B270" s="380" t="s">
        <v>29</v>
      </c>
      <c r="C270" s="380" t="s">
        <v>29</v>
      </c>
      <c r="D270" s="380" t="s">
        <v>29</v>
      </c>
      <c r="E270" s="380" t="s">
        <v>19</v>
      </c>
      <c r="F270" s="380">
        <v>22.702999999999999</v>
      </c>
      <c r="G270" s="380" t="s">
        <v>29</v>
      </c>
      <c r="H270" s="380" t="s">
        <v>29</v>
      </c>
    </row>
    <row r="271" spans="1:8">
      <c r="A271" s="379">
        <v>8</v>
      </c>
      <c r="B271" s="380" t="s">
        <v>1254</v>
      </c>
      <c r="C271" s="380" t="s">
        <v>45</v>
      </c>
      <c r="D271" s="380" t="s">
        <v>1255</v>
      </c>
      <c r="E271" s="380" t="s">
        <v>17</v>
      </c>
      <c r="F271" s="380">
        <v>17.991</v>
      </c>
      <c r="G271" s="380">
        <v>1.124648372</v>
      </c>
      <c r="H271" s="390">
        <v>0.35499999999999998</v>
      </c>
    </row>
    <row r="272" spans="1:8">
      <c r="A272" s="379">
        <v>8</v>
      </c>
      <c r="B272" s="380" t="s">
        <v>29</v>
      </c>
      <c r="C272" s="380" t="s">
        <v>29</v>
      </c>
      <c r="D272" s="380" t="s">
        <v>29</v>
      </c>
      <c r="E272" s="380" t="s">
        <v>19</v>
      </c>
      <c r="F272" s="380">
        <v>15.997</v>
      </c>
      <c r="G272" s="380" t="s">
        <v>29</v>
      </c>
      <c r="H272" s="380" t="s">
        <v>29</v>
      </c>
    </row>
    <row r="273" spans="1:7">
      <c r="A273" s="385" t="s">
        <v>1256</v>
      </c>
      <c r="B273" s="386" t="s">
        <v>1</v>
      </c>
      <c r="C273" s="386" t="s">
        <v>1257</v>
      </c>
      <c r="D273" s="392" t="s">
        <v>1</v>
      </c>
      <c r="E273" s="392" t="s">
        <v>5</v>
      </c>
      <c r="F273" s="378" t="s">
        <v>6</v>
      </c>
      <c r="G273" s="388" t="s">
        <v>7</v>
      </c>
    </row>
    <row r="274" spans="1:7">
      <c r="A274" s="379">
        <v>1</v>
      </c>
      <c r="B274" s="380" t="s">
        <v>1258</v>
      </c>
      <c r="C274" s="380" t="s">
        <v>1259</v>
      </c>
      <c r="D274" s="393" t="s">
        <v>68</v>
      </c>
      <c r="E274" s="393">
        <v>16.736000000000001</v>
      </c>
      <c r="F274" s="380">
        <v>0.74471588099999997</v>
      </c>
      <c r="G274" s="389">
        <v>-0.376</v>
      </c>
    </row>
    <row r="275" spans="1:7">
      <c r="A275" s="379">
        <v>1</v>
      </c>
      <c r="B275" s="380" t="s">
        <v>29</v>
      </c>
      <c r="C275" s="380" t="s">
        <v>29</v>
      </c>
      <c r="D275" s="393" t="s">
        <v>68</v>
      </c>
      <c r="E275" s="393">
        <v>22.472999999999999</v>
      </c>
      <c r="F275" s="380" t="s">
        <v>29</v>
      </c>
      <c r="G275" s="380" t="s">
        <v>29</v>
      </c>
    </row>
    <row r="276" spans="1:7">
      <c r="A276" s="379">
        <v>2</v>
      </c>
      <c r="B276" s="368" t="s">
        <v>1260</v>
      </c>
      <c r="C276" s="380" t="s">
        <v>1261</v>
      </c>
      <c r="D276" s="393" t="s">
        <v>71</v>
      </c>
      <c r="E276" s="393">
        <v>16.986999999999998</v>
      </c>
      <c r="F276" s="380">
        <v>0.83392243499999996</v>
      </c>
      <c r="G276" s="389">
        <v>-0.20399999999999999</v>
      </c>
    </row>
    <row r="277" spans="1:7">
      <c r="A277" s="379">
        <v>2</v>
      </c>
      <c r="B277" s="380" t="s">
        <v>29</v>
      </c>
      <c r="C277" s="380" t="s">
        <v>29</v>
      </c>
      <c r="D277" s="393" t="s">
        <v>71</v>
      </c>
      <c r="E277" s="393">
        <v>20.37</v>
      </c>
      <c r="F277" s="380" t="s">
        <v>29</v>
      </c>
      <c r="G277" s="380" t="s">
        <v>29</v>
      </c>
    </row>
    <row r="278" spans="1:7">
      <c r="A278" s="379">
        <v>3</v>
      </c>
      <c r="B278" s="380" t="s">
        <v>1262</v>
      </c>
      <c r="C278" s="380" t="s">
        <v>1263</v>
      </c>
      <c r="D278" s="393" t="s">
        <v>74</v>
      </c>
      <c r="E278" s="393">
        <v>16.021999999999998</v>
      </c>
      <c r="F278" s="380">
        <v>0.64141879199999996</v>
      </c>
      <c r="G278" s="389">
        <v>-0.57399999999999995</v>
      </c>
    </row>
    <row r="279" spans="1:7">
      <c r="A279" s="379">
        <v>3</v>
      </c>
      <c r="B279" s="380" t="s">
        <v>29</v>
      </c>
      <c r="C279" s="380" t="s">
        <v>29</v>
      </c>
      <c r="D279" s="393" t="s">
        <v>74</v>
      </c>
      <c r="E279" s="393">
        <v>24.978999999999999</v>
      </c>
      <c r="F279" s="380" t="s">
        <v>29</v>
      </c>
      <c r="G279" s="380" t="s">
        <v>29</v>
      </c>
    </row>
    <row r="280" spans="1:7">
      <c r="A280" s="379">
        <v>4</v>
      </c>
      <c r="B280" s="380" t="s">
        <v>1264</v>
      </c>
      <c r="C280" s="380" t="s">
        <v>1265</v>
      </c>
      <c r="D280" s="393" t="s">
        <v>81</v>
      </c>
      <c r="E280" s="393">
        <v>16.216999999999999</v>
      </c>
      <c r="F280" s="380">
        <v>0.77367492000000004</v>
      </c>
      <c r="G280" s="389">
        <v>-0.32</v>
      </c>
    </row>
    <row r="281" spans="1:7">
      <c r="A281" s="379">
        <v>4</v>
      </c>
      <c r="B281" s="380" t="s">
        <v>29</v>
      </c>
      <c r="C281" s="380" t="s">
        <v>29</v>
      </c>
      <c r="D281" s="393" t="s">
        <v>81</v>
      </c>
      <c r="E281" s="393">
        <v>20.960999999999999</v>
      </c>
      <c r="F281" s="380" t="s">
        <v>29</v>
      </c>
      <c r="G281" s="380" t="s">
        <v>29</v>
      </c>
    </row>
    <row r="282" spans="1:7">
      <c r="A282" s="379">
        <v>5</v>
      </c>
      <c r="B282" s="380" t="s">
        <v>1266</v>
      </c>
      <c r="C282" s="380" t="s">
        <v>1267</v>
      </c>
      <c r="D282" s="393" t="s">
        <v>83</v>
      </c>
      <c r="E282" s="393">
        <v>15.363</v>
      </c>
      <c r="F282" s="380">
        <v>0.61207171299999996</v>
      </c>
      <c r="G282" s="389">
        <v>-0.63100000000000001</v>
      </c>
    </row>
    <row r="283" spans="1:7">
      <c r="A283" s="379">
        <v>5</v>
      </c>
      <c r="B283" s="380" t="s">
        <v>29</v>
      </c>
      <c r="C283" s="380" t="s">
        <v>29</v>
      </c>
      <c r="D283" s="393" t="s">
        <v>83</v>
      </c>
      <c r="E283" s="393">
        <v>25.1</v>
      </c>
      <c r="F283" s="380" t="s">
        <v>29</v>
      </c>
      <c r="G283" s="380" t="s">
        <v>29</v>
      </c>
    </row>
    <row r="284" spans="1:7">
      <c r="A284" s="379">
        <v>6</v>
      </c>
      <c r="B284" s="368" t="s">
        <v>1268</v>
      </c>
      <c r="C284" s="380" t="s">
        <v>1269</v>
      </c>
      <c r="D284" s="393" t="s">
        <v>27</v>
      </c>
      <c r="E284" s="393">
        <v>16.687000000000001</v>
      </c>
      <c r="F284" s="380">
        <v>0.76612643999999996</v>
      </c>
      <c r="G284" s="389">
        <v>-0.33400000000000002</v>
      </c>
    </row>
    <row r="285" spans="1:7">
      <c r="A285" s="379">
        <v>6</v>
      </c>
      <c r="B285" s="380" t="s">
        <v>29</v>
      </c>
      <c r="C285" s="380" t="s">
        <v>29</v>
      </c>
      <c r="D285" s="393" t="s">
        <v>27</v>
      </c>
      <c r="E285" s="393">
        <v>21.780999999999999</v>
      </c>
      <c r="F285" s="380" t="s">
        <v>29</v>
      </c>
      <c r="G285" s="380" t="s">
        <v>29</v>
      </c>
    </row>
    <row r="286" spans="1:7">
      <c r="A286" s="379">
        <v>7</v>
      </c>
      <c r="B286" s="380" t="s">
        <v>1270</v>
      </c>
      <c r="C286" s="380" t="s">
        <v>1271</v>
      </c>
      <c r="D286" s="393" t="s">
        <v>31</v>
      </c>
      <c r="E286" s="393">
        <v>16.32</v>
      </c>
      <c r="F286" s="380">
        <v>0.56320530099999999</v>
      </c>
      <c r="G286" s="389">
        <v>-0.72499999999999998</v>
      </c>
    </row>
    <row r="287" spans="1:7">
      <c r="A287" s="379">
        <v>7</v>
      </c>
      <c r="B287" s="380" t="s">
        <v>29</v>
      </c>
      <c r="C287" s="380" t="s">
        <v>29</v>
      </c>
      <c r="D287" s="393" t="s">
        <v>31</v>
      </c>
      <c r="E287" s="393">
        <v>28.977</v>
      </c>
      <c r="F287" s="380" t="s">
        <v>29</v>
      </c>
      <c r="G287" s="380" t="s">
        <v>29</v>
      </c>
    </row>
    <row r="288" spans="1:7">
      <c r="A288" s="379">
        <v>8</v>
      </c>
      <c r="B288" s="380" t="s">
        <v>1272</v>
      </c>
      <c r="C288" s="380" t="s">
        <v>1273</v>
      </c>
      <c r="D288" s="393" t="s">
        <v>34</v>
      </c>
      <c r="E288" s="393">
        <v>17.07</v>
      </c>
      <c r="F288" s="380">
        <v>0.764031868</v>
      </c>
      <c r="G288" s="389">
        <v>-0.33800000000000002</v>
      </c>
    </row>
    <row r="289" spans="1:7">
      <c r="A289" s="379">
        <v>8</v>
      </c>
      <c r="B289" s="380" t="s">
        <v>29</v>
      </c>
      <c r="C289" s="380" t="s">
        <v>29</v>
      </c>
      <c r="D289" s="393" t="s">
        <v>34</v>
      </c>
      <c r="E289" s="393">
        <v>22.341999999999999</v>
      </c>
      <c r="F289" s="380" t="s">
        <v>29</v>
      </c>
      <c r="G289" s="380" t="s">
        <v>29</v>
      </c>
    </row>
    <row r="290" spans="1:7">
      <c r="A290" s="379">
        <v>9</v>
      </c>
      <c r="B290" s="380" t="s">
        <v>1274</v>
      </c>
      <c r="C290" s="380" t="s">
        <v>1275</v>
      </c>
      <c r="D290" s="393" t="s">
        <v>105</v>
      </c>
      <c r="E290" s="393">
        <v>16.760000000000002</v>
      </c>
      <c r="F290" s="380">
        <v>0.72872733599999995</v>
      </c>
      <c r="G290" s="389">
        <v>-0.40600000000000003</v>
      </c>
    </row>
    <row r="291" spans="1:7">
      <c r="A291" s="379">
        <v>9</v>
      </c>
      <c r="B291" s="380" t="s">
        <v>29</v>
      </c>
      <c r="C291" s="380" t="s">
        <v>29</v>
      </c>
      <c r="D291" s="393" t="s">
        <v>105</v>
      </c>
      <c r="E291" s="393">
        <v>22.998999999999999</v>
      </c>
      <c r="F291" s="380" t="s">
        <v>29</v>
      </c>
      <c r="G291" s="380" t="s">
        <v>29</v>
      </c>
    </row>
    <row r="292" spans="1:7">
      <c r="A292" s="379">
        <v>10</v>
      </c>
      <c r="B292" s="380" t="s">
        <v>1276</v>
      </c>
      <c r="C292" s="380" t="s">
        <v>1277</v>
      </c>
      <c r="D292" s="393" t="s">
        <v>59</v>
      </c>
      <c r="E292" s="393">
        <v>16.010999999999999</v>
      </c>
      <c r="F292" s="380">
        <v>0.64602162699999999</v>
      </c>
      <c r="G292" s="389">
        <v>-0.56499999999999995</v>
      </c>
    </row>
    <row r="293" spans="1:7">
      <c r="A293" s="379">
        <v>10</v>
      </c>
      <c r="B293" s="380" t="s">
        <v>29</v>
      </c>
      <c r="C293" s="380" t="s">
        <v>29</v>
      </c>
      <c r="D293" s="393" t="s">
        <v>59</v>
      </c>
      <c r="E293" s="393">
        <v>24.783999999999999</v>
      </c>
      <c r="F293" s="380" t="s">
        <v>29</v>
      </c>
      <c r="G293" s="380" t="s">
        <v>29</v>
      </c>
    </row>
    <row r="294" spans="1:7">
      <c r="A294" s="379">
        <v>11</v>
      </c>
      <c r="B294" s="368" t="s">
        <v>1278</v>
      </c>
      <c r="C294" s="380" t="s">
        <v>1279</v>
      </c>
      <c r="D294" s="393" t="s">
        <v>49</v>
      </c>
      <c r="E294" s="393">
        <v>16.63</v>
      </c>
      <c r="F294" s="380">
        <v>0.65019353300000005</v>
      </c>
      <c r="G294" s="389">
        <v>-0.55700000000000005</v>
      </c>
    </row>
    <row r="295" spans="1:7">
      <c r="A295" s="379">
        <v>11</v>
      </c>
      <c r="B295" s="380" t="s">
        <v>29</v>
      </c>
      <c r="C295" s="380" t="s">
        <v>29</v>
      </c>
      <c r="D295" s="393" t="s">
        <v>49</v>
      </c>
      <c r="E295" s="393">
        <v>25.577000000000002</v>
      </c>
      <c r="F295" s="380" t="s">
        <v>29</v>
      </c>
      <c r="G295" s="380" t="s">
        <v>29</v>
      </c>
    </row>
    <row r="296" spans="1:7">
      <c r="A296" s="379">
        <v>12</v>
      </c>
      <c r="B296" s="368" t="s">
        <v>1280</v>
      </c>
      <c r="C296" s="380" t="s">
        <v>1281</v>
      </c>
      <c r="D296" s="393" t="s">
        <v>52</v>
      </c>
      <c r="E296" s="393">
        <v>19.777000000000001</v>
      </c>
      <c r="F296" s="380">
        <v>1.1197486130000001</v>
      </c>
      <c r="G296" s="390">
        <v>0.34599999999999997</v>
      </c>
    </row>
    <row r="297" spans="1:7">
      <c r="A297" s="379">
        <v>12</v>
      </c>
      <c r="B297" s="380" t="s">
        <v>29</v>
      </c>
      <c r="C297" s="380" t="s">
        <v>29</v>
      </c>
      <c r="D297" s="393" t="s">
        <v>52</v>
      </c>
      <c r="E297" s="393">
        <v>17.661999999999999</v>
      </c>
      <c r="F297" s="380" t="s">
        <v>29</v>
      </c>
      <c r="G297" s="380" t="s">
        <v>29</v>
      </c>
    </row>
    <row r="298" spans="1:7">
      <c r="A298" s="379">
        <v>13</v>
      </c>
      <c r="B298" s="380" t="s">
        <v>1282</v>
      </c>
      <c r="C298" s="380" t="s">
        <v>1283</v>
      </c>
      <c r="D298" s="393" t="s">
        <v>55</v>
      </c>
      <c r="E298" s="393">
        <v>16.298999999999999</v>
      </c>
      <c r="F298" s="380">
        <v>0.60855766700000002</v>
      </c>
      <c r="G298" s="389">
        <v>-0.63700000000000001</v>
      </c>
    </row>
    <row r="299" spans="1:7">
      <c r="A299" s="379">
        <v>13</v>
      </c>
      <c r="B299" s="380" t="s">
        <v>29</v>
      </c>
      <c r="C299" s="380" t="s">
        <v>29</v>
      </c>
      <c r="D299" s="393" t="s">
        <v>55</v>
      </c>
      <c r="E299" s="393">
        <v>26.783000000000001</v>
      </c>
      <c r="F299" s="380" t="s">
        <v>29</v>
      </c>
      <c r="G299" s="380" t="s">
        <v>29</v>
      </c>
    </row>
    <row r="300" spans="1:7">
      <c r="A300" s="379">
        <v>14</v>
      </c>
      <c r="B300" s="380" t="s">
        <v>1284</v>
      </c>
      <c r="C300" s="380" t="s">
        <v>1285</v>
      </c>
      <c r="D300" s="393" t="s">
        <v>182</v>
      </c>
      <c r="E300" s="393">
        <v>17.427</v>
      </c>
      <c r="F300" s="380">
        <v>0.70749431600000001</v>
      </c>
      <c r="G300" s="389">
        <v>-0.44700000000000001</v>
      </c>
    </row>
    <row r="301" spans="1:7">
      <c r="A301" s="379">
        <v>14</v>
      </c>
      <c r="B301" s="380" t="s">
        <v>29</v>
      </c>
      <c r="C301" s="380" t="s">
        <v>29</v>
      </c>
      <c r="D301" s="393" t="s">
        <v>182</v>
      </c>
      <c r="E301" s="393">
        <v>24.632000000000001</v>
      </c>
      <c r="F301" s="380" t="s">
        <v>29</v>
      </c>
      <c r="G301" s="380" t="s">
        <v>29</v>
      </c>
    </row>
    <row r="302" spans="1:7">
      <c r="A302" s="379">
        <v>15</v>
      </c>
      <c r="B302" s="380" t="s">
        <v>1286</v>
      </c>
      <c r="C302" s="380" t="s">
        <v>1287</v>
      </c>
      <c r="D302" s="393" t="s">
        <v>185</v>
      </c>
      <c r="E302" s="393">
        <v>16.558</v>
      </c>
      <c r="F302" s="380">
        <v>0.80944466199999998</v>
      </c>
      <c r="G302" s="389">
        <v>-0.251</v>
      </c>
    </row>
    <row r="303" spans="1:7">
      <c r="A303" s="379">
        <v>15</v>
      </c>
      <c r="B303" s="380" t="s">
        <v>29</v>
      </c>
      <c r="C303" s="380" t="s">
        <v>29</v>
      </c>
      <c r="D303" s="393" t="s">
        <v>185</v>
      </c>
      <c r="E303" s="393">
        <v>20.456</v>
      </c>
      <c r="F303" s="380" t="s">
        <v>29</v>
      </c>
      <c r="G303" s="380" t="s">
        <v>29</v>
      </c>
    </row>
    <row r="304" spans="1:7">
      <c r="A304" s="379">
        <v>16</v>
      </c>
      <c r="B304" s="380" t="s">
        <v>1288</v>
      </c>
      <c r="C304" s="380" t="s">
        <v>1289</v>
      </c>
      <c r="D304" s="393" t="s">
        <v>100</v>
      </c>
      <c r="E304" s="393">
        <v>18.210999999999999</v>
      </c>
      <c r="F304" s="380">
        <v>0.60841240100000005</v>
      </c>
      <c r="G304" s="389">
        <v>-0.63800000000000001</v>
      </c>
    </row>
    <row r="305" spans="1:7">
      <c r="A305" s="379">
        <v>16</v>
      </c>
      <c r="B305" s="380" t="s">
        <v>29</v>
      </c>
      <c r="C305" s="380" t="s">
        <v>29</v>
      </c>
      <c r="D305" s="393" t="s">
        <v>100</v>
      </c>
      <c r="E305" s="393">
        <v>29.931999999999999</v>
      </c>
      <c r="F305" s="380" t="s">
        <v>29</v>
      </c>
      <c r="G305" s="380" t="s">
        <v>29</v>
      </c>
    </row>
    <row r="306" spans="1:7">
      <c r="A306" s="379">
        <v>17</v>
      </c>
      <c r="B306" s="380" t="s">
        <v>1290</v>
      </c>
      <c r="C306" s="380" t="s">
        <v>1291</v>
      </c>
      <c r="D306" s="393" t="s">
        <v>173</v>
      </c>
      <c r="E306" s="393">
        <v>17.318000000000001</v>
      </c>
      <c r="F306" s="380">
        <v>0.69777186800000002</v>
      </c>
      <c r="G306" s="389">
        <v>-0.46600000000000003</v>
      </c>
    </row>
    <row r="307" spans="1:7">
      <c r="A307" s="379">
        <v>17</v>
      </c>
      <c r="B307" s="380" t="s">
        <v>29</v>
      </c>
      <c r="C307" s="380" t="s">
        <v>29</v>
      </c>
      <c r="D307" s="393" t="s">
        <v>173</v>
      </c>
      <c r="E307" s="393">
        <v>24.818999999999999</v>
      </c>
      <c r="F307" s="380" t="s">
        <v>29</v>
      </c>
      <c r="G307" s="380" t="s">
        <v>29</v>
      </c>
    </row>
    <row r="308" spans="1:7">
      <c r="A308" s="379">
        <v>18</v>
      </c>
      <c r="B308" s="380" t="s">
        <v>1292</v>
      </c>
      <c r="C308" s="380" t="s">
        <v>1293</v>
      </c>
      <c r="D308" s="393" t="s">
        <v>39</v>
      </c>
      <c r="E308" s="393">
        <v>17.527000000000001</v>
      </c>
      <c r="F308" s="380">
        <v>0.72139446799999996</v>
      </c>
      <c r="G308" s="389">
        <v>-0.42</v>
      </c>
    </row>
    <row r="309" spans="1:7">
      <c r="A309" s="379">
        <v>18</v>
      </c>
      <c r="B309" s="380" t="s">
        <v>29</v>
      </c>
      <c r="C309" s="380" t="s">
        <v>29</v>
      </c>
      <c r="D309" s="393" t="s">
        <v>39</v>
      </c>
      <c r="E309" s="393">
        <v>24.295999999999999</v>
      </c>
      <c r="F309" s="380" t="s">
        <v>29</v>
      </c>
      <c r="G309" s="380" t="s">
        <v>29</v>
      </c>
    </row>
    <row r="310" spans="1:7">
      <c r="A310" s="364"/>
      <c r="B310" s="376"/>
      <c r="C310" s="376"/>
      <c r="D310" s="365"/>
      <c r="E310" s="365"/>
      <c r="F310" s="367"/>
      <c r="G310" s="368"/>
    </row>
    <row r="311" spans="1:7">
      <c r="A311" s="385" t="s">
        <v>29</v>
      </c>
      <c r="B311" s="386" t="s">
        <v>1294</v>
      </c>
      <c r="C311" s="386" t="s">
        <v>1</v>
      </c>
      <c r="D311" s="386" t="s">
        <v>0</v>
      </c>
      <c r="E311" s="378" t="s">
        <v>5</v>
      </c>
      <c r="F311" s="378" t="s">
        <v>6</v>
      </c>
      <c r="G311" s="388" t="s">
        <v>7</v>
      </c>
    </row>
    <row r="312" spans="1:7">
      <c r="A312" s="379">
        <v>1</v>
      </c>
      <c r="B312" s="380" t="s">
        <v>1295</v>
      </c>
      <c r="C312" s="380" t="s">
        <v>1296</v>
      </c>
      <c r="D312" s="380" t="s">
        <v>1297</v>
      </c>
      <c r="E312" s="380">
        <v>17.486000000000001</v>
      </c>
      <c r="F312" s="380">
        <v>0.63433214800000004</v>
      </c>
      <c r="G312" s="389">
        <v>-0.58799999999999997</v>
      </c>
    </row>
    <row r="313" spans="1:7">
      <c r="A313" s="379">
        <v>1</v>
      </c>
      <c r="B313" s="380" t="s">
        <v>29</v>
      </c>
      <c r="C313" s="380" t="s">
        <v>29</v>
      </c>
      <c r="D313" s="380" t="s">
        <v>29</v>
      </c>
      <c r="E313" s="380">
        <v>27.565999999999999</v>
      </c>
      <c r="F313" s="380" t="s">
        <v>29</v>
      </c>
      <c r="G313" s="380" t="s">
        <v>29</v>
      </c>
    </row>
    <row r="314" spans="1:7">
      <c r="A314" s="379">
        <v>2</v>
      </c>
      <c r="B314" s="368" t="s">
        <v>1298</v>
      </c>
      <c r="C314" s="380" t="s">
        <v>1299</v>
      </c>
      <c r="D314" s="380" t="s">
        <v>1300</v>
      </c>
      <c r="E314" s="380">
        <v>19.259</v>
      </c>
      <c r="F314" s="380">
        <v>0.72331555599999997</v>
      </c>
      <c r="G314" s="389">
        <v>-0.41699999999999998</v>
      </c>
    </row>
    <row r="315" spans="1:7">
      <c r="A315" s="379">
        <v>2</v>
      </c>
      <c r="B315" s="380" t="s">
        <v>29</v>
      </c>
      <c r="C315" s="380" t="s">
        <v>29</v>
      </c>
      <c r="D315" s="380" t="s">
        <v>29</v>
      </c>
      <c r="E315" s="380">
        <v>26.626000000000001</v>
      </c>
      <c r="F315" s="380" t="s">
        <v>29</v>
      </c>
      <c r="G315" s="380" t="s">
        <v>29</v>
      </c>
    </row>
    <row r="316" spans="1:7">
      <c r="A316" s="379">
        <v>3</v>
      </c>
      <c r="B316" s="380" t="s">
        <v>1301</v>
      </c>
      <c r="C316" s="380" t="s">
        <v>1302</v>
      </c>
      <c r="D316" s="380" t="s">
        <v>1197</v>
      </c>
      <c r="E316" s="380">
        <v>15.352</v>
      </c>
      <c r="F316" s="380">
        <v>0.88042667900000005</v>
      </c>
      <c r="G316" s="389">
        <v>-0.115</v>
      </c>
    </row>
    <row r="317" spans="1:7">
      <c r="A317" s="379">
        <v>3</v>
      </c>
      <c r="B317" s="380" t="s">
        <v>29</v>
      </c>
      <c r="C317" s="380" t="s">
        <v>29</v>
      </c>
      <c r="D317" s="380" t="s">
        <v>29</v>
      </c>
      <c r="E317" s="380">
        <v>17.437000000000001</v>
      </c>
      <c r="F317" s="380" t="s">
        <v>29</v>
      </c>
      <c r="G317" s="380" t="s">
        <v>29</v>
      </c>
    </row>
    <row r="318" spans="1:7">
      <c r="A318" s="379">
        <v>4</v>
      </c>
      <c r="B318" s="380" t="s">
        <v>1303</v>
      </c>
      <c r="C318" s="380" t="s">
        <v>1304</v>
      </c>
      <c r="D318" s="380" t="s">
        <v>1305</v>
      </c>
      <c r="E318" s="380">
        <v>17.527000000000001</v>
      </c>
      <c r="F318" s="380">
        <v>0.78964678300000002</v>
      </c>
      <c r="G318" s="389">
        <v>-0.28899999999999998</v>
      </c>
    </row>
    <row r="319" spans="1:7">
      <c r="A319" s="379">
        <v>4</v>
      </c>
      <c r="B319" s="380" t="s">
        <v>29</v>
      </c>
      <c r="C319" s="380" t="s">
        <v>29</v>
      </c>
      <c r="D319" s="380" t="s">
        <v>29</v>
      </c>
      <c r="E319" s="380">
        <v>22.196000000000002</v>
      </c>
      <c r="F319" s="380" t="s">
        <v>29</v>
      </c>
      <c r="G319" s="380" t="s">
        <v>29</v>
      </c>
    </row>
    <row r="320" spans="1:7">
      <c r="A320" s="379">
        <v>5</v>
      </c>
      <c r="B320" s="380" t="s">
        <v>1306</v>
      </c>
      <c r="C320" s="380" t="s">
        <v>1307</v>
      </c>
      <c r="D320" s="380" t="s">
        <v>1308</v>
      </c>
      <c r="E320" s="380">
        <v>19.055</v>
      </c>
      <c r="F320" s="380">
        <v>0.91067673500000001</v>
      </c>
      <c r="G320" s="389">
        <v>-5.6000000000000001E-2</v>
      </c>
    </row>
    <row r="321" spans="1:7">
      <c r="A321" s="379">
        <v>5</v>
      </c>
      <c r="B321" s="380" t="s">
        <v>29</v>
      </c>
      <c r="C321" s="380" t="s">
        <v>29</v>
      </c>
      <c r="D321" s="380" t="s">
        <v>29</v>
      </c>
      <c r="E321" s="380">
        <v>20.923999999999999</v>
      </c>
      <c r="F321" s="380" t="s">
        <v>29</v>
      </c>
      <c r="G321" s="380" t="s">
        <v>29</v>
      </c>
    </row>
    <row r="322" spans="1:7">
      <c r="A322" s="379">
        <v>6</v>
      </c>
      <c r="B322" s="368" t="s">
        <v>1309</v>
      </c>
      <c r="C322" s="380" t="s">
        <v>1310</v>
      </c>
      <c r="D322" s="380" t="s">
        <v>1311</v>
      </c>
      <c r="E322" s="380">
        <v>15.814</v>
      </c>
      <c r="F322" s="380">
        <v>0.82044098600000004</v>
      </c>
      <c r="G322" s="389">
        <v>-0.23</v>
      </c>
    </row>
    <row r="323" spans="1:7">
      <c r="A323" s="379">
        <v>6</v>
      </c>
      <c r="B323" s="380" t="s">
        <v>29</v>
      </c>
      <c r="C323" s="380" t="s">
        <v>29</v>
      </c>
      <c r="D323" s="380" t="s">
        <v>29</v>
      </c>
      <c r="E323" s="380">
        <v>19.274999999999999</v>
      </c>
      <c r="F323" s="380" t="s">
        <v>29</v>
      </c>
      <c r="G323" s="380" t="s">
        <v>29</v>
      </c>
    </row>
    <row r="324" spans="1:7">
      <c r="A324" s="379">
        <v>7</v>
      </c>
      <c r="B324" s="380" t="s">
        <v>1312</v>
      </c>
      <c r="C324" s="380" t="s">
        <v>1313</v>
      </c>
      <c r="D324" s="380" t="s">
        <v>1180</v>
      </c>
      <c r="E324" s="380">
        <v>17.143999999999998</v>
      </c>
      <c r="F324" s="380">
        <v>0.83029833399999997</v>
      </c>
      <c r="G324" s="389">
        <v>-0.21099999999999999</v>
      </c>
    </row>
    <row r="325" spans="1:7">
      <c r="A325" s="379">
        <v>7</v>
      </c>
      <c r="B325" s="380" t="s">
        <v>29</v>
      </c>
      <c r="C325" s="380" t="s">
        <v>29</v>
      </c>
      <c r="D325" s="380" t="s">
        <v>29</v>
      </c>
      <c r="E325" s="380">
        <v>20.648</v>
      </c>
      <c r="F325" s="380" t="s">
        <v>29</v>
      </c>
      <c r="G325" s="380" t="s">
        <v>29</v>
      </c>
    </row>
    <row r="326" spans="1:7">
      <c r="A326" s="379">
        <v>8</v>
      </c>
      <c r="B326" s="380" t="s">
        <v>1314</v>
      </c>
      <c r="C326" s="380" t="s">
        <v>1315</v>
      </c>
      <c r="D326" s="380" t="s">
        <v>1316</v>
      </c>
      <c r="E326" s="380">
        <v>16.802</v>
      </c>
      <c r="F326" s="380">
        <v>0.77514301500000005</v>
      </c>
      <c r="G326" s="389">
        <v>-0.317</v>
      </c>
    </row>
    <row r="327" spans="1:7">
      <c r="A327" s="379">
        <v>8</v>
      </c>
      <c r="B327" s="380" t="s">
        <v>29</v>
      </c>
      <c r="C327" s="380" t="s">
        <v>29</v>
      </c>
      <c r="D327" s="380" t="s">
        <v>29</v>
      </c>
      <c r="E327" s="380">
        <v>21.675999999999998</v>
      </c>
      <c r="F327" s="380" t="s">
        <v>29</v>
      </c>
      <c r="G327" s="380" t="s">
        <v>29</v>
      </c>
    </row>
    <row r="328" spans="1:7">
      <c r="A328" s="379">
        <v>9</v>
      </c>
      <c r="B328" s="380" t="s">
        <v>1317</v>
      </c>
      <c r="C328" s="380" t="s">
        <v>1318</v>
      </c>
      <c r="D328" s="380" t="s">
        <v>1319</v>
      </c>
      <c r="E328" s="380">
        <v>17.199000000000002</v>
      </c>
      <c r="F328" s="380">
        <v>0.62088011300000001</v>
      </c>
      <c r="G328" s="389">
        <v>-0.61399999999999999</v>
      </c>
    </row>
    <row r="329" spans="1:7">
      <c r="A329" s="379">
        <v>9</v>
      </c>
      <c r="B329" s="380" t="s">
        <v>29</v>
      </c>
      <c r="C329" s="380" t="s">
        <v>29</v>
      </c>
      <c r="D329" s="380" t="s">
        <v>29</v>
      </c>
      <c r="E329" s="380">
        <v>27.701000000000001</v>
      </c>
      <c r="F329" s="380" t="s">
        <v>29</v>
      </c>
      <c r="G329" s="380" t="s">
        <v>29</v>
      </c>
    </row>
    <row r="330" spans="1:7">
      <c r="A330" s="379">
        <v>10</v>
      </c>
      <c r="B330" s="380" t="s">
        <v>1320</v>
      </c>
      <c r="C330" s="380" t="s">
        <v>1321</v>
      </c>
      <c r="D330" s="380" t="s">
        <v>1164</v>
      </c>
      <c r="E330" s="380">
        <v>19.021000000000001</v>
      </c>
      <c r="F330" s="380">
        <v>0.92722043499999995</v>
      </c>
      <c r="G330" s="389">
        <v>-2.5000000000000001E-2</v>
      </c>
    </row>
    <row r="331" spans="1:7">
      <c r="A331" s="379">
        <v>10</v>
      </c>
      <c r="B331" s="380" t="s">
        <v>29</v>
      </c>
      <c r="C331" s="380" t="s">
        <v>29</v>
      </c>
      <c r="D331" s="380" t="s">
        <v>29</v>
      </c>
      <c r="E331" s="380">
        <v>20.513999999999999</v>
      </c>
      <c r="F331" s="380" t="s">
        <v>29</v>
      </c>
      <c r="G331" s="380" t="s">
        <v>29</v>
      </c>
    </row>
    <row r="332" spans="1:7">
      <c r="A332" s="379">
        <v>11</v>
      </c>
      <c r="B332" s="368" t="s">
        <v>1322</v>
      </c>
      <c r="C332" s="380" t="s">
        <v>1323</v>
      </c>
      <c r="D332" s="380" t="s">
        <v>1324</v>
      </c>
      <c r="E332" s="380">
        <v>17.821999999999999</v>
      </c>
      <c r="F332" s="380">
        <v>0.81876234699999995</v>
      </c>
      <c r="G332" s="389">
        <v>-0.23300000000000001</v>
      </c>
    </row>
    <row r="333" spans="1:7">
      <c r="A333" s="379">
        <v>11</v>
      </c>
      <c r="B333" s="380" t="s">
        <v>29</v>
      </c>
      <c r="C333" s="380" t="s">
        <v>29</v>
      </c>
      <c r="D333" s="380" t="s">
        <v>29</v>
      </c>
      <c r="E333" s="380">
        <v>21.766999999999999</v>
      </c>
      <c r="F333" s="380" t="s">
        <v>29</v>
      </c>
      <c r="G333" s="380" t="s">
        <v>29</v>
      </c>
    </row>
    <row r="334" spans="1:7">
      <c r="A334" s="379">
        <v>12</v>
      </c>
      <c r="B334" s="368" t="s">
        <v>1325</v>
      </c>
      <c r="C334" s="380" t="s">
        <v>1326</v>
      </c>
      <c r="D334" s="380" t="s">
        <v>1327</v>
      </c>
      <c r="E334" s="380">
        <v>17.302</v>
      </c>
      <c r="F334" s="380">
        <v>0.67572739699999995</v>
      </c>
      <c r="G334" s="389">
        <v>-0.50800000000000001</v>
      </c>
    </row>
    <row r="335" spans="1:7">
      <c r="A335" s="379">
        <v>12</v>
      </c>
      <c r="B335" s="380" t="s">
        <v>29</v>
      </c>
      <c r="C335" s="380" t="s">
        <v>29</v>
      </c>
      <c r="D335" s="380" t="s">
        <v>29</v>
      </c>
      <c r="E335" s="380">
        <v>25.605</v>
      </c>
      <c r="F335" s="380" t="s">
        <v>29</v>
      </c>
      <c r="G335" s="380" t="s">
        <v>29</v>
      </c>
    </row>
    <row r="336" spans="1:7">
      <c r="A336" s="379">
        <v>13</v>
      </c>
      <c r="B336" s="380" t="s">
        <v>1328</v>
      </c>
      <c r="C336" s="380" t="s">
        <v>1329</v>
      </c>
      <c r="D336" s="380" t="s">
        <v>1327</v>
      </c>
      <c r="E336" s="380">
        <v>14.968999999999999</v>
      </c>
      <c r="F336" s="380">
        <v>0.74520834400000002</v>
      </c>
      <c r="G336" s="389">
        <v>-0.375</v>
      </c>
    </row>
    <row r="337" spans="1:7">
      <c r="A337" s="379">
        <v>13</v>
      </c>
      <c r="B337" s="380" t="s">
        <v>29</v>
      </c>
      <c r="C337" s="380" t="s">
        <v>29</v>
      </c>
      <c r="D337" s="380" t="s">
        <v>29</v>
      </c>
      <c r="E337" s="380">
        <v>20.087</v>
      </c>
      <c r="F337" s="380" t="s">
        <v>29</v>
      </c>
      <c r="G337" s="380" t="s">
        <v>29</v>
      </c>
    </row>
    <row r="338" spans="1:7">
      <c r="A338" s="379">
        <v>14</v>
      </c>
      <c r="B338" s="368" t="s">
        <v>1330</v>
      </c>
      <c r="C338" s="380" t="s">
        <v>1331</v>
      </c>
      <c r="D338" s="380" t="s">
        <v>1332</v>
      </c>
      <c r="E338" s="380">
        <v>19.577999999999999</v>
      </c>
      <c r="F338" s="380">
        <v>0.67995693400000001</v>
      </c>
      <c r="G338" s="389">
        <v>-0.5</v>
      </c>
    </row>
    <row r="339" spans="1:7">
      <c r="A339" s="379">
        <v>14</v>
      </c>
      <c r="B339" s="380" t="s">
        <v>29</v>
      </c>
      <c r="C339" s="380" t="s">
        <v>29</v>
      </c>
      <c r="D339" s="380" t="s">
        <v>29</v>
      </c>
      <c r="E339" s="380">
        <v>28.792999999999999</v>
      </c>
      <c r="F339" s="380" t="s">
        <v>29</v>
      </c>
      <c r="G339" s="380" t="s">
        <v>29</v>
      </c>
    </row>
    <row r="340" spans="1:7">
      <c r="A340" s="379">
        <v>15</v>
      </c>
      <c r="B340" s="380" t="s">
        <v>1333</v>
      </c>
      <c r="C340" s="380" t="s">
        <v>1334</v>
      </c>
      <c r="D340" s="380" t="s">
        <v>1155</v>
      </c>
      <c r="E340" s="380">
        <v>18.256</v>
      </c>
      <c r="F340" s="380">
        <v>0.82898919299999996</v>
      </c>
      <c r="G340" s="389">
        <v>-0.21299999999999999</v>
      </c>
    </row>
    <row r="341" spans="1:7">
      <c r="A341" s="379">
        <v>15</v>
      </c>
      <c r="B341" s="380" t="s">
        <v>29</v>
      </c>
      <c r="C341" s="380" t="s">
        <v>29</v>
      </c>
      <c r="D341" s="380" t="s">
        <v>29</v>
      </c>
      <c r="E341" s="380">
        <v>22.021999999999998</v>
      </c>
      <c r="F341" s="380" t="s">
        <v>29</v>
      </c>
      <c r="G341" s="380" t="s">
        <v>29</v>
      </c>
    </row>
    <row r="342" spans="1:7">
      <c r="A342" s="379">
        <v>16</v>
      </c>
      <c r="B342" s="380" t="s">
        <v>1335</v>
      </c>
      <c r="C342" s="380" t="s">
        <v>1336</v>
      </c>
      <c r="D342" s="380" t="s">
        <v>1156</v>
      </c>
      <c r="E342" s="380">
        <v>13.773</v>
      </c>
      <c r="F342" s="380">
        <v>0.69613343400000005</v>
      </c>
      <c r="G342" s="389">
        <v>-0.46899999999999997</v>
      </c>
    </row>
    <row r="343" spans="1:7">
      <c r="A343" s="379">
        <v>16</v>
      </c>
      <c r="B343" s="380" t="s">
        <v>29</v>
      </c>
      <c r="C343" s="380" t="s">
        <v>29</v>
      </c>
      <c r="D343" s="380" t="s">
        <v>29</v>
      </c>
      <c r="E343" s="380">
        <v>19.785</v>
      </c>
      <c r="F343" s="380" t="s">
        <v>29</v>
      </c>
      <c r="G343" s="380" t="s">
        <v>29</v>
      </c>
    </row>
    <row r="344" spans="1:7">
      <c r="A344" s="379">
        <v>17</v>
      </c>
      <c r="B344" s="380" t="s">
        <v>1337</v>
      </c>
      <c r="C344" s="380" t="s">
        <v>1338</v>
      </c>
      <c r="D344" s="380" t="s">
        <v>1339</v>
      </c>
      <c r="E344" s="380">
        <v>15.211</v>
      </c>
      <c r="F344" s="380">
        <v>0.75164302999999999</v>
      </c>
      <c r="G344" s="389">
        <v>-0.36199999999999999</v>
      </c>
    </row>
    <row r="345" spans="1:7">
      <c r="A345" s="379">
        <v>17</v>
      </c>
      <c r="B345" s="380" t="s">
        <v>29</v>
      </c>
      <c r="C345" s="380" t="s">
        <v>29</v>
      </c>
      <c r="D345" s="380" t="s">
        <v>29</v>
      </c>
      <c r="E345" s="380">
        <v>20.236999999999998</v>
      </c>
      <c r="F345" s="380" t="s">
        <v>29</v>
      </c>
      <c r="G345" s="380" t="s">
        <v>29</v>
      </c>
    </row>
    <row r="346" spans="1:7">
      <c r="A346" s="379">
        <v>18</v>
      </c>
      <c r="B346" s="368" t="s">
        <v>1340</v>
      </c>
      <c r="C346" s="380" t="s">
        <v>1341</v>
      </c>
      <c r="D346" s="380" t="s">
        <v>1342</v>
      </c>
      <c r="E346" s="380">
        <v>17.460999999999999</v>
      </c>
      <c r="F346" s="380">
        <v>0.61331225899999997</v>
      </c>
      <c r="G346" s="389">
        <v>-0.628</v>
      </c>
    </row>
    <row r="347" spans="1:7">
      <c r="A347" s="379">
        <v>18</v>
      </c>
      <c r="B347" s="380" t="s">
        <v>29</v>
      </c>
      <c r="C347" s="380" t="s">
        <v>29</v>
      </c>
      <c r="D347" s="380" t="s">
        <v>29</v>
      </c>
      <c r="E347" s="380">
        <v>28.47</v>
      </c>
      <c r="F347" s="380" t="s">
        <v>29</v>
      </c>
      <c r="G347" s="380" t="s">
        <v>29</v>
      </c>
    </row>
    <row r="348" spans="1:7">
      <c r="A348" s="379">
        <v>19</v>
      </c>
      <c r="B348" s="380" t="s">
        <v>1343</v>
      </c>
      <c r="C348" s="380" t="s">
        <v>1344</v>
      </c>
      <c r="D348" s="380" t="s">
        <v>1345</v>
      </c>
      <c r="E348" s="380">
        <v>17.562999999999999</v>
      </c>
      <c r="F348" s="380">
        <v>0.63164898400000002</v>
      </c>
      <c r="G348" s="389">
        <v>-0.59299999999999997</v>
      </c>
    </row>
    <row r="349" spans="1:7">
      <c r="A349" s="379">
        <v>19</v>
      </c>
      <c r="B349" s="380" t="s">
        <v>29</v>
      </c>
      <c r="C349" s="380" t="s">
        <v>29</v>
      </c>
      <c r="D349" s="380" t="s">
        <v>29</v>
      </c>
      <c r="E349" s="380">
        <v>27.805</v>
      </c>
      <c r="F349" s="380" t="s">
        <v>29</v>
      </c>
      <c r="G349" s="380" t="s">
        <v>29</v>
      </c>
    </row>
    <row r="350" spans="1:7">
      <c r="A350" s="379">
        <v>20</v>
      </c>
      <c r="B350" s="380" t="s">
        <v>1346</v>
      </c>
      <c r="C350" s="380" t="s">
        <v>1347</v>
      </c>
      <c r="D350" s="380" t="s">
        <v>1348</v>
      </c>
      <c r="E350" s="380">
        <v>16.538</v>
      </c>
      <c r="F350" s="380">
        <v>0.90519978099999998</v>
      </c>
      <c r="G350" s="389">
        <v>-6.7000000000000004E-2</v>
      </c>
    </row>
    <row r="351" spans="1:7">
      <c r="A351" s="379">
        <v>20</v>
      </c>
      <c r="B351" s="380" t="s">
        <v>29</v>
      </c>
      <c r="C351" s="380" t="s">
        <v>29</v>
      </c>
      <c r="D351" s="380" t="s">
        <v>29</v>
      </c>
      <c r="E351" s="380">
        <v>18.27</v>
      </c>
      <c r="F351" s="380" t="s">
        <v>29</v>
      </c>
      <c r="G351" s="380" t="s">
        <v>29</v>
      </c>
    </row>
    <row r="352" spans="1:7">
      <c r="A352" s="379">
        <v>21</v>
      </c>
      <c r="B352" s="380" t="s">
        <v>1349</v>
      </c>
      <c r="C352" s="380" t="s">
        <v>1350</v>
      </c>
      <c r="D352" s="380" t="s">
        <v>1351</v>
      </c>
      <c r="E352" s="380">
        <v>19.248999999999999</v>
      </c>
      <c r="F352" s="380">
        <v>0.82109798199999995</v>
      </c>
      <c r="G352" s="389">
        <v>-0.22900000000000001</v>
      </c>
    </row>
    <row r="353" spans="1:7">
      <c r="A353" s="379">
        <v>21</v>
      </c>
      <c r="B353" s="380" t="s">
        <v>29</v>
      </c>
      <c r="C353" s="380" t="s">
        <v>29</v>
      </c>
      <c r="D353" s="380" t="s">
        <v>29</v>
      </c>
      <c r="E353" s="380">
        <v>23.443000000000001</v>
      </c>
      <c r="F353" s="380" t="s">
        <v>29</v>
      </c>
      <c r="G353" s="380" t="s">
        <v>29</v>
      </c>
    </row>
    <row r="354" spans="1:7">
      <c r="A354" s="379">
        <v>22</v>
      </c>
      <c r="B354" s="380" t="s">
        <v>1352</v>
      </c>
      <c r="C354" s="380" t="s">
        <v>1353</v>
      </c>
      <c r="D354" s="380" t="s">
        <v>1351</v>
      </c>
      <c r="E354" s="380">
        <v>19.568999999999999</v>
      </c>
      <c r="F354" s="380">
        <v>0.93052781699999998</v>
      </c>
      <c r="G354" s="389">
        <v>-1.7999999999999999E-2</v>
      </c>
    </row>
    <row r="355" spans="1:7">
      <c r="A355" s="379">
        <v>22</v>
      </c>
      <c r="B355" s="380" t="s">
        <v>29</v>
      </c>
      <c r="C355" s="380" t="s">
        <v>29</v>
      </c>
      <c r="D355" s="380" t="s">
        <v>29</v>
      </c>
      <c r="E355" s="380">
        <v>21.03</v>
      </c>
      <c r="F355" s="380" t="s">
        <v>29</v>
      </c>
      <c r="G355" s="380" t="s">
        <v>29</v>
      </c>
    </row>
    <row r="356" spans="1:7">
      <c r="A356" s="379">
        <v>23</v>
      </c>
      <c r="B356" s="368" t="s">
        <v>1354</v>
      </c>
      <c r="C356" s="380" t="s">
        <v>1355</v>
      </c>
      <c r="D356" s="380" t="s">
        <v>1148</v>
      </c>
      <c r="E356" s="380">
        <v>14.545999999999999</v>
      </c>
      <c r="F356" s="380">
        <v>0.80002200000000001</v>
      </c>
      <c r="G356" s="389">
        <v>-0.26900000000000002</v>
      </c>
    </row>
    <row r="357" spans="1:7">
      <c r="A357" s="379">
        <v>23</v>
      </c>
      <c r="B357" s="380" t="s">
        <v>29</v>
      </c>
      <c r="C357" s="380" t="s">
        <v>29</v>
      </c>
      <c r="D357" s="380" t="s">
        <v>29</v>
      </c>
      <c r="E357" s="380">
        <v>18.181999999999999</v>
      </c>
      <c r="F357" s="380" t="s">
        <v>29</v>
      </c>
      <c r="G357" s="380" t="s">
        <v>29</v>
      </c>
    </row>
    <row r="358" spans="1:7">
      <c r="A358" s="379">
        <v>24</v>
      </c>
      <c r="B358" s="368" t="s">
        <v>1356</v>
      </c>
      <c r="C358" s="380" t="s">
        <v>1114</v>
      </c>
      <c r="D358" s="380" t="s">
        <v>1357</v>
      </c>
      <c r="E358" s="380">
        <v>18.408999999999999</v>
      </c>
      <c r="F358" s="380">
        <v>0.84136197400000001</v>
      </c>
      <c r="G358" s="389">
        <v>-0.19</v>
      </c>
    </row>
    <row r="359" spans="1:7">
      <c r="A359" s="379">
        <v>24</v>
      </c>
      <c r="B359" s="380" t="s">
        <v>29</v>
      </c>
      <c r="C359" s="380" t="s">
        <v>29</v>
      </c>
      <c r="D359" s="380" t="s">
        <v>29</v>
      </c>
      <c r="E359" s="380">
        <v>21.88</v>
      </c>
      <c r="F359" s="380" t="s">
        <v>29</v>
      </c>
      <c r="G359" s="380" t="s">
        <v>29</v>
      </c>
    </row>
    <row r="360" spans="1:7">
      <c r="A360" s="379">
        <v>25</v>
      </c>
      <c r="B360" s="380" t="s">
        <v>1358</v>
      </c>
      <c r="C360" s="368" t="s">
        <v>1359</v>
      </c>
      <c r="D360" s="380" t="s">
        <v>1357</v>
      </c>
      <c r="E360" s="380">
        <v>17.363</v>
      </c>
      <c r="F360" s="380">
        <v>1.002251212</v>
      </c>
      <c r="G360" s="390">
        <v>0.12</v>
      </c>
    </row>
    <row r="361" spans="1:7">
      <c r="A361" s="379">
        <v>25</v>
      </c>
      <c r="B361" s="380" t="s">
        <v>29</v>
      </c>
      <c r="C361" s="380" t="s">
        <v>29</v>
      </c>
      <c r="D361" s="380" t="s">
        <v>29</v>
      </c>
      <c r="E361" s="380">
        <v>17.324000000000002</v>
      </c>
      <c r="F361" s="380" t="s">
        <v>29</v>
      </c>
      <c r="G361" s="380" t="s">
        <v>29</v>
      </c>
    </row>
    <row r="362" spans="1:7">
      <c r="A362" s="379">
        <v>26</v>
      </c>
      <c r="B362" s="380" t="s">
        <v>1360</v>
      </c>
      <c r="C362" s="368" t="s">
        <v>1361</v>
      </c>
      <c r="D362" s="380" t="s">
        <v>1362</v>
      </c>
      <c r="E362" s="380">
        <v>18.564</v>
      </c>
      <c r="F362" s="380">
        <v>0.72680291299999999</v>
      </c>
      <c r="G362" s="389">
        <v>-0.41</v>
      </c>
    </row>
    <row r="363" spans="1:7">
      <c r="A363" s="379">
        <v>26</v>
      </c>
      <c r="B363" s="380" t="s">
        <v>29</v>
      </c>
      <c r="C363" s="380" t="s">
        <v>29</v>
      </c>
      <c r="D363" s="380" t="s">
        <v>29</v>
      </c>
      <c r="E363" s="380">
        <v>25.542000000000002</v>
      </c>
      <c r="F363" s="380" t="s">
        <v>29</v>
      </c>
      <c r="G363" s="380" t="s">
        <v>29</v>
      </c>
    </row>
    <row r="364" spans="1:7">
      <c r="A364" s="379">
        <v>27</v>
      </c>
      <c r="B364" s="368" t="s">
        <v>1363</v>
      </c>
      <c r="C364" s="368" t="s">
        <v>1364</v>
      </c>
      <c r="D364" s="380" t="s">
        <v>1362</v>
      </c>
      <c r="E364" s="380">
        <v>16.777999999999999</v>
      </c>
      <c r="F364" s="380">
        <v>0.61195608599999995</v>
      </c>
      <c r="G364" s="389">
        <v>-0.63100000000000001</v>
      </c>
    </row>
    <row r="365" spans="1:7">
      <c r="A365" s="379">
        <v>27</v>
      </c>
      <c r="B365" s="380" t="s">
        <v>29</v>
      </c>
      <c r="C365" s="380" t="s">
        <v>29</v>
      </c>
      <c r="D365" s="380" t="s">
        <v>29</v>
      </c>
      <c r="E365" s="380">
        <v>27.417000000000002</v>
      </c>
      <c r="F365" s="380" t="s">
        <v>29</v>
      </c>
      <c r="G365" s="380" t="s">
        <v>29</v>
      </c>
    </row>
    <row r="366" spans="1:7">
      <c r="A366" s="379">
        <v>28</v>
      </c>
      <c r="B366" s="380" t="s">
        <v>1365</v>
      </c>
      <c r="C366" s="368" t="s">
        <v>1366</v>
      </c>
      <c r="D366" s="380" t="s">
        <v>1367</v>
      </c>
      <c r="E366" s="380">
        <v>18.434000000000001</v>
      </c>
      <c r="F366" s="380">
        <v>0.84812514400000005</v>
      </c>
      <c r="G366" s="389">
        <v>-0.17699999999999999</v>
      </c>
    </row>
    <row r="367" spans="1:7">
      <c r="A367" s="379">
        <v>28</v>
      </c>
      <c r="B367" s="380" t="s">
        <v>29</v>
      </c>
      <c r="C367" s="380" t="s">
        <v>29</v>
      </c>
      <c r="D367" s="380" t="s">
        <v>29</v>
      </c>
      <c r="E367" s="380">
        <v>21.734999999999999</v>
      </c>
      <c r="F367" s="380" t="s">
        <v>29</v>
      </c>
      <c r="G367" s="380" t="s">
        <v>29</v>
      </c>
    </row>
    <row r="368" spans="1:7">
      <c r="A368" s="379">
        <v>29</v>
      </c>
      <c r="B368" s="380" t="s">
        <v>1368</v>
      </c>
      <c r="C368" s="368" t="s">
        <v>1369</v>
      </c>
      <c r="D368" s="380" t="s">
        <v>1367</v>
      </c>
      <c r="E368" s="380">
        <v>17.280999999999999</v>
      </c>
      <c r="F368" s="380">
        <v>0.98737287200000001</v>
      </c>
      <c r="G368" s="390">
        <v>9.0999999999999998E-2</v>
      </c>
    </row>
    <row r="369" spans="1:7">
      <c r="A369" s="379">
        <v>29</v>
      </c>
      <c r="B369" s="380" t="s">
        <v>29</v>
      </c>
      <c r="C369" s="380" t="s">
        <v>29</v>
      </c>
      <c r="D369" s="380" t="s">
        <v>29</v>
      </c>
      <c r="E369" s="380">
        <v>17.501999999999999</v>
      </c>
      <c r="F369" s="380" t="s">
        <v>29</v>
      </c>
      <c r="G369" s="380" t="s">
        <v>29</v>
      </c>
    </row>
    <row r="370" spans="1:7">
      <c r="A370" s="379">
        <v>30</v>
      </c>
      <c r="B370" s="380" t="s">
        <v>1370</v>
      </c>
      <c r="C370" s="368" t="s">
        <v>1371</v>
      </c>
      <c r="D370" s="380" t="s">
        <v>1372</v>
      </c>
      <c r="E370" s="380">
        <v>19.762</v>
      </c>
      <c r="F370" s="380">
        <v>0.78240557399999999</v>
      </c>
      <c r="G370" s="389">
        <v>-0.30299999999999999</v>
      </c>
    </row>
    <row r="371" spans="1:7">
      <c r="A371" s="379">
        <v>30</v>
      </c>
      <c r="B371" s="380" t="s">
        <v>29</v>
      </c>
      <c r="C371" s="380" t="s">
        <v>29</v>
      </c>
      <c r="D371" s="380" t="s">
        <v>29</v>
      </c>
      <c r="E371" s="380">
        <v>25.257999999999999</v>
      </c>
      <c r="F371" s="380" t="s">
        <v>29</v>
      </c>
      <c r="G371" s="380" t="s">
        <v>29</v>
      </c>
    </row>
    <row r="372" spans="1:7">
      <c r="A372" s="379">
        <v>31</v>
      </c>
      <c r="B372" s="368" t="s">
        <v>1373</v>
      </c>
      <c r="C372" s="368" t="s">
        <v>1374</v>
      </c>
      <c r="D372" s="380" t="s">
        <v>1372</v>
      </c>
      <c r="E372" s="380">
        <v>18.626999999999999</v>
      </c>
      <c r="F372" s="380">
        <v>0.88501924300000001</v>
      </c>
      <c r="G372" s="389">
        <v>-0.106</v>
      </c>
    </row>
    <row r="373" spans="1:7">
      <c r="A373" s="379">
        <v>31</v>
      </c>
      <c r="B373" s="380" t="s">
        <v>29</v>
      </c>
      <c r="C373" s="380" t="s">
        <v>29</v>
      </c>
      <c r="D373" s="380" t="s">
        <v>29</v>
      </c>
      <c r="E373" s="380">
        <v>21.047000000000001</v>
      </c>
      <c r="F373" s="380" t="s">
        <v>29</v>
      </c>
      <c r="G373" s="380" t="s">
        <v>29</v>
      </c>
    </row>
    <row r="374" spans="1:7">
      <c r="A374" s="379">
        <v>32</v>
      </c>
      <c r="B374" s="380" t="s">
        <v>1375</v>
      </c>
      <c r="C374" s="368" t="s">
        <v>1376</v>
      </c>
      <c r="D374" s="380" t="s">
        <v>1372</v>
      </c>
      <c r="E374" s="380">
        <v>16.972999999999999</v>
      </c>
      <c r="F374" s="380">
        <v>0.788268623</v>
      </c>
      <c r="G374" s="389">
        <v>-0.29199999999999998</v>
      </c>
    </row>
    <row r="375" spans="1:7">
      <c r="A375" s="379">
        <v>32</v>
      </c>
      <c r="B375" s="380" t="s">
        <v>29</v>
      </c>
      <c r="C375" s="380" t="s">
        <v>29</v>
      </c>
      <c r="D375" s="380" t="s">
        <v>29</v>
      </c>
      <c r="E375" s="380">
        <v>21.532</v>
      </c>
      <c r="F375" s="380" t="s">
        <v>29</v>
      </c>
      <c r="G375" s="380" t="s">
        <v>29</v>
      </c>
    </row>
    <row r="376" spans="1:7">
      <c r="A376" s="379">
        <v>33</v>
      </c>
      <c r="B376" s="380" t="s">
        <v>1377</v>
      </c>
      <c r="C376" s="368" t="s">
        <v>1378</v>
      </c>
      <c r="D376" s="380" t="s">
        <v>1379</v>
      </c>
      <c r="E376" s="380">
        <v>22.678999999999998</v>
      </c>
      <c r="F376" s="380">
        <v>0.85529491599999996</v>
      </c>
      <c r="G376" s="389">
        <v>-0.16300000000000001</v>
      </c>
    </row>
    <row r="377" spans="1:7">
      <c r="A377" s="379">
        <v>33</v>
      </c>
      <c r="B377" s="380" t="s">
        <v>29</v>
      </c>
      <c r="C377" s="380" t="s">
        <v>29</v>
      </c>
      <c r="D377" s="380" t="s">
        <v>29</v>
      </c>
      <c r="E377" s="380">
        <v>26.515999999999998</v>
      </c>
      <c r="F377" s="380" t="s">
        <v>29</v>
      </c>
      <c r="G377" s="380" t="s">
        <v>29</v>
      </c>
    </row>
    <row r="378" spans="1:7">
      <c r="A378" s="379">
        <v>34</v>
      </c>
      <c r="B378" s="380" t="s">
        <v>1380</v>
      </c>
      <c r="C378" s="368" t="s">
        <v>1381</v>
      </c>
      <c r="D378" s="380" t="s">
        <v>1379</v>
      </c>
      <c r="E378" s="380">
        <v>17.43</v>
      </c>
      <c r="F378" s="380">
        <v>0.65342080599999997</v>
      </c>
      <c r="G378" s="389">
        <v>-0.55100000000000005</v>
      </c>
    </row>
    <row r="379" spans="1:7">
      <c r="A379" s="379">
        <v>34</v>
      </c>
      <c r="B379" s="380" t="s">
        <v>29</v>
      </c>
      <c r="C379" s="380" t="s">
        <v>29</v>
      </c>
      <c r="D379" s="380" t="s">
        <v>29</v>
      </c>
      <c r="E379" s="380">
        <v>26.675000000000001</v>
      </c>
      <c r="F379" s="380" t="s">
        <v>29</v>
      </c>
      <c r="G379" s="380" t="s">
        <v>29</v>
      </c>
    </row>
    <row r="380" spans="1:7">
      <c r="A380" s="379">
        <v>35</v>
      </c>
      <c r="B380" s="380" t="s">
        <v>1382</v>
      </c>
      <c r="C380" s="368" t="s">
        <v>1383</v>
      </c>
      <c r="D380" s="380" t="s">
        <v>1384</v>
      </c>
      <c r="E380" s="380">
        <v>20.469000000000001</v>
      </c>
      <c r="F380" s="380">
        <v>0.90534742800000001</v>
      </c>
      <c r="G380" s="389">
        <v>-6.7000000000000004E-2</v>
      </c>
    </row>
    <row r="381" spans="1:7">
      <c r="A381" s="379">
        <v>35</v>
      </c>
      <c r="B381" s="380" t="s">
        <v>29</v>
      </c>
      <c r="C381" s="380" t="s">
        <v>29</v>
      </c>
      <c r="D381" s="380" t="s">
        <v>29</v>
      </c>
      <c r="E381" s="380">
        <v>22.609000000000002</v>
      </c>
      <c r="F381" s="380" t="s">
        <v>29</v>
      </c>
      <c r="G381" s="380" t="s">
        <v>29</v>
      </c>
    </row>
    <row r="382" spans="1:7">
      <c r="A382" s="379">
        <v>36</v>
      </c>
      <c r="B382" s="368" t="s">
        <v>1385</v>
      </c>
      <c r="C382" s="368" t="s">
        <v>1386</v>
      </c>
      <c r="D382" s="380" t="s">
        <v>1387</v>
      </c>
      <c r="E382" s="380">
        <v>17.902999999999999</v>
      </c>
      <c r="F382" s="380">
        <v>0.80318528499999997</v>
      </c>
      <c r="G382" s="389">
        <v>-0.26300000000000001</v>
      </c>
    </row>
    <row r="383" spans="1:7">
      <c r="A383" s="379">
        <v>36</v>
      </c>
      <c r="B383" s="380" t="s">
        <v>29</v>
      </c>
      <c r="C383" s="380" t="s">
        <v>29</v>
      </c>
      <c r="D383" s="380" t="s">
        <v>29</v>
      </c>
      <c r="E383" s="380">
        <v>22.29</v>
      </c>
      <c r="F383" s="380" t="s">
        <v>29</v>
      </c>
      <c r="G383" s="380" t="s">
        <v>29</v>
      </c>
    </row>
    <row r="384" spans="1:7">
      <c r="A384" s="379">
        <v>37</v>
      </c>
      <c r="B384" s="368" t="s">
        <v>1388</v>
      </c>
      <c r="C384" s="368" t="s">
        <v>1389</v>
      </c>
      <c r="D384" s="380" t="s">
        <v>1390</v>
      </c>
      <c r="E384" s="380">
        <v>15.895</v>
      </c>
      <c r="F384" s="380">
        <v>0.87677202300000001</v>
      </c>
      <c r="G384" s="389">
        <v>-0.122</v>
      </c>
    </row>
    <row r="385" spans="1:7">
      <c r="A385" s="379">
        <v>37</v>
      </c>
      <c r="B385" s="380" t="s">
        <v>29</v>
      </c>
      <c r="C385" s="380" t="s">
        <v>29</v>
      </c>
      <c r="D385" s="380" t="s">
        <v>29</v>
      </c>
      <c r="E385" s="380">
        <v>18.129000000000001</v>
      </c>
      <c r="F385" s="380" t="s">
        <v>29</v>
      </c>
      <c r="G385" s="380" t="s">
        <v>29</v>
      </c>
    </row>
    <row r="386" spans="1:7">
      <c r="A386" s="379">
        <v>38</v>
      </c>
      <c r="B386" s="380" t="s">
        <v>1391</v>
      </c>
      <c r="C386" s="368" t="s">
        <v>1392</v>
      </c>
      <c r="D386" s="380" t="s">
        <v>1393</v>
      </c>
      <c r="E386" s="380">
        <v>18.7</v>
      </c>
      <c r="F386" s="380">
        <v>0.90728251900000001</v>
      </c>
      <c r="G386" s="389">
        <v>-6.3E-2</v>
      </c>
    </row>
    <row r="387" spans="1:7">
      <c r="A387" s="379">
        <v>38</v>
      </c>
      <c r="B387" s="380" t="s">
        <v>29</v>
      </c>
      <c r="C387" s="380" t="s">
        <v>29</v>
      </c>
      <c r="D387" s="380" t="s">
        <v>29</v>
      </c>
      <c r="E387" s="380">
        <v>20.611000000000001</v>
      </c>
      <c r="F387" s="380" t="s">
        <v>29</v>
      </c>
      <c r="G387" s="380" t="s">
        <v>29</v>
      </c>
    </row>
    <row r="388" spans="1:7">
      <c r="A388" s="379">
        <v>39</v>
      </c>
      <c r="B388" s="380" t="s">
        <v>1394</v>
      </c>
      <c r="C388" s="368" t="s">
        <v>1395</v>
      </c>
      <c r="D388" s="380" t="s">
        <v>1390</v>
      </c>
      <c r="E388" s="380">
        <v>16.317</v>
      </c>
      <c r="F388" s="380">
        <v>0.88290676899999998</v>
      </c>
      <c r="G388" s="389">
        <v>-0.11</v>
      </c>
    </row>
    <row r="389" spans="1:7">
      <c r="A389" s="379">
        <v>39</v>
      </c>
      <c r="B389" s="380" t="s">
        <v>29</v>
      </c>
      <c r="C389" s="380" t="s">
        <v>29</v>
      </c>
      <c r="D389" s="380" t="s">
        <v>29</v>
      </c>
      <c r="E389" s="380">
        <v>18.481000000000002</v>
      </c>
      <c r="F389" s="380" t="s">
        <v>29</v>
      </c>
      <c r="G389" s="380" t="s">
        <v>29</v>
      </c>
    </row>
    <row r="390" spans="1:7">
      <c r="A390" s="379">
        <v>40</v>
      </c>
      <c r="B390" s="368" t="s">
        <v>1396</v>
      </c>
      <c r="C390" s="368" t="s">
        <v>1397</v>
      </c>
      <c r="D390" s="380" t="s">
        <v>1384</v>
      </c>
      <c r="E390" s="380">
        <v>15.465</v>
      </c>
      <c r="F390" s="380">
        <v>0.732625894</v>
      </c>
      <c r="G390" s="389">
        <v>-0.39900000000000002</v>
      </c>
    </row>
    <row r="391" spans="1:7">
      <c r="A391" s="379">
        <v>40</v>
      </c>
      <c r="B391" s="380" t="s">
        <v>29</v>
      </c>
      <c r="C391" s="380" t="s">
        <v>29</v>
      </c>
      <c r="D391" s="380" t="s">
        <v>29</v>
      </c>
      <c r="E391" s="380">
        <v>21.109000000000002</v>
      </c>
      <c r="F391" s="380" t="s">
        <v>29</v>
      </c>
      <c r="G391" s="380" t="s">
        <v>29</v>
      </c>
    </row>
    <row r="392" spans="1:7">
      <c r="A392" s="379">
        <v>41</v>
      </c>
      <c r="B392" s="380" t="s">
        <v>1398</v>
      </c>
      <c r="C392" s="368" t="s">
        <v>1399</v>
      </c>
      <c r="D392" s="380" t="s">
        <v>1168</v>
      </c>
      <c r="E392" s="380">
        <v>17.143000000000001</v>
      </c>
      <c r="F392" s="380">
        <v>0.92835481399999997</v>
      </c>
      <c r="G392" s="389">
        <v>-2.1999999999999999E-2</v>
      </c>
    </row>
    <row r="393" spans="1:7">
      <c r="A393" s="379">
        <v>41</v>
      </c>
      <c r="B393" s="380" t="s">
        <v>29</v>
      </c>
      <c r="C393" s="380" t="s">
        <v>29</v>
      </c>
      <c r="D393" s="380" t="s">
        <v>29</v>
      </c>
      <c r="E393" s="380">
        <v>18.466000000000001</v>
      </c>
      <c r="F393" s="380" t="s">
        <v>29</v>
      </c>
      <c r="G393" s="380" t="s">
        <v>29</v>
      </c>
    </row>
    <row r="394" spans="1:7">
      <c r="A394" s="379">
        <v>42</v>
      </c>
      <c r="B394" s="380" t="s">
        <v>1400</v>
      </c>
      <c r="C394" s="368" t="s">
        <v>1401</v>
      </c>
      <c r="D394" s="380" t="s">
        <v>1402</v>
      </c>
      <c r="E394" s="380">
        <v>17.876999999999999</v>
      </c>
      <c r="F394" s="380">
        <v>0.90488965399999999</v>
      </c>
      <c r="G394" s="389">
        <v>-6.8000000000000005E-2</v>
      </c>
    </row>
    <row r="395" spans="1:7">
      <c r="A395" s="379">
        <v>42</v>
      </c>
      <c r="B395" s="380" t="s">
        <v>29</v>
      </c>
      <c r="C395" s="380" t="s">
        <v>29</v>
      </c>
      <c r="D395" s="380" t="s">
        <v>29</v>
      </c>
      <c r="E395" s="380">
        <v>19.756</v>
      </c>
      <c r="F395" s="380" t="s">
        <v>29</v>
      </c>
      <c r="G395" s="380" t="s">
        <v>29</v>
      </c>
    </row>
    <row r="396" spans="1:7">
      <c r="A396" s="379">
        <v>43</v>
      </c>
      <c r="B396" s="380" t="s">
        <v>1403</v>
      </c>
      <c r="C396" s="368" t="s">
        <v>1404</v>
      </c>
      <c r="D396" s="380" t="s">
        <v>1161</v>
      </c>
      <c r="E396" s="380">
        <v>17.809999999999999</v>
      </c>
      <c r="F396" s="380">
        <v>0.59897760099999997</v>
      </c>
      <c r="G396" s="389">
        <v>-0.65600000000000003</v>
      </c>
    </row>
    <row r="397" spans="1:7">
      <c r="A397" s="379">
        <v>43</v>
      </c>
      <c r="B397" s="380" t="s">
        <v>29</v>
      </c>
      <c r="C397" s="380" t="s">
        <v>29</v>
      </c>
      <c r="D397" s="380" t="s">
        <v>29</v>
      </c>
      <c r="E397" s="380">
        <v>29.734000000000002</v>
      </c>
      <c r="F397" s="380" t="s">
        <v>29</v>
      </c>
      <c r="G397" s="380" t="s">
        <v>29</v>
      </c>
    </row>
    <row r="398" spans="1:7">
      <c r="A398" s="379">
        <v>44</v>
      </c>
      <c r="B398" s="368" t="s">
        <v>1405</v>
      </c>
      <c r="C398" s="368" t="s">
        <v>1406</v>
      </c>
      <c r="D398" s="380" t="s">
        <v>1407</v>
      </c>
      <c r="E398" s="380">
        <v>17.163</v>
      </c>
      <c r="F398" s="380">
        <v>0.75851858400000005</v>
      </c>
      <c r="G398" s="389">
        <v>-0.34899999999999998</v>
      </c>
    </row>
    <row r="399" spans="1:7">
      <c r="A399" s="379">
        <v>44</v>
      </c>
      <c r="B399" s="380" t="s">
        <v>29</v>
      </c>
      <c r="C399" s="380" t="s">
        <v>29</v>
      </c>
      <c r="D399" s="380" t="s">
        <v>29</v>
      </c>
      <c r="E399" s="380">
        <v>22.626999999999999</v>
      </c>
      <c r="F399" s="380" t="s">
        <v>29</v>
      </c>
      <c r="G399" s="380" t="s">
        <v>29</v>
      </c>
    </row>
    <row r="400" spans="1:7">
      <c r="A400" s="379">
        <v>45</v>
      </c>
      <c r="B400" s="380" t="s">
        <v>1408</v>
      </c>
      <c r="C400" s="368" t="s">
        <v>1409</v>
      </c>
      <c r="D400" s="380" t="s">
        <v>1410</v>
      </c>
      <c r="E400" s="380">
        <v>17.853999999999999</v>
      </c>
      <c r="F400" s="380">
        <v>0.69873199699999999</v>
      </c>
      <c r="G400" s="389">
        <v>-0.46400000000000002</v>
      </c>
    </row>
    <row r="401" spans="1:7">
      <c r="A401" s="379">
        <v>45</v>
      </c>
      <c r="B401" s="380" t="s">
        <v>29</v>
      </c>
      <c r="C401" s="380" t="s">
        <v>29</v>
      </c>
      <c r="D401" s="380" t="s">
        <v>29</v>
      </c>
      <c r="E401" s="380">
        <v>25.552</v>
      </c>
      <c r="F401" s="380" t="s">
        <v>29</v>
      </c>
      <c r="G401" s="380" t="s">
        <v>29</v>
      </c>
    </row>
    <row r="402" spans="1:7">
      <c r="A402" s="379">
        <v>46</v>
      </c>
      <c r="B402" s="380" t="s">
        <v>1411</v>
      </c>
      <c r="C402" s="368" t="s">
        <v>1412</v>
      </c>
      <c r="D402" s="380" t="s">
        <v>1410</v>
      </c>
      <c r="E402" s="380">
        <v>20.312000000000001</v>
      </c>
      <c r="F402" s="380">
        <v>0.86257856300000002</v>
      </c>
      <c r="G402" s="389">
        <v>-0.14899999999999999</v>
      </c>
    </row>
    <row r="403" spans="1:7">
      <c r="A403" s="379">
        <v>46</v>
      </c>
      <c r="B403" s="380" t="s">
        <v>29</v>
      </c>
      <c r="C403" s="380" t="s">
        <v>29</v>
      </c>
      <c r="D403" s="380" t="s">
        <v>29</v>
      </c>
      <c r="E403" s="380">
        <v>23.547999999999998</v>
      </c>
      <c r="F403" s="380" t="s">
        <v>29</v>
      </c>
      <c r="G403" s="380" t="s">
        <v>29</v>
      </c>
    </row>
    <row r="404" spans="1:7">
      <c r="A404" s="379">
        <v>47</v>
      </c>
      <c r="B404" s="380" t="s">
        <v>1413</v>
      </c>
      <c r="C404" s="368" t="s">
        <v>1414</v>
      </c>
      <c r="D404" s="380" t="s">
        <v>1415</v>
      </c>
      <c r="E404" s="380">
        <v>18.254999999999999</v>
      </c>
      <c r="F404" s="380">
        <v>0.82318722899999996</v>
      </c>
      <c r="G404" s="389">
        <v>-0.22500000000000001</v>
      </c>
    </row>
    <row r="405" spans="1:7">
      <c r="A405" s="379">
        <v>47</v>
      </c>
      <c r="B405" s="380" t="s">
        <v>29</v>
      </c>
      <c r="C405" s="380" t="s">
        <v>29</v>
      </c>
      <c r="D405" s="380" t="s">
        <v>29</v>
      </c>
      <c r="E405" s="380">
        <v>22.175999999999998</v>
      </c>
      <c r="F405" s="380" t="s">
        <v>29</v>
      </c>
      <c r="G405" s="380" t="s">
        <v>29</v>
      </c>
    </row>
    <row r="406" spans="1:7">
      <c r="A406" s="379">
        <v>48</v>
      </c>
      <c r="B406" s="380" t="s">
        <v>1416</v>
      </c>
      <c r="C406" s="368" t="s">
        <v>1417</v>
      </c>
      <c r="D406" s="380" t="s">
        <v>1418</v>
      </c>
      <c r="E406" s="380">
        <v>19.233000000000001</v>
      </c>
      <c r="F406" s="380">
        <v>0.808584882</v>
      </c>
      <c r="G406" s="389">
        <v>-0.253</v>
      </c>
    </row>
    <row r="407" spans="1:7">
      <c r="A407" s="379">
        <v>48</v>
      </c>
      <c r="B407" s="380" t="s">
        <v>29</v>
      </c>
      <c r="C407" s="380" t="s">
        <v>29</v>
      </c>
      <c r="D407" s="380" t="s">
        <v>29</v>
      </c>
      <c r="E407" s="380">
        <v>23.786000000000001</v>
      </c>
      <c r="F407" s="380" t="s">
        <v>29</v>
      </c>
      <c r="G407" s="380" t="s">
        <v>29</v>
      </c>
    </row>
    <row r="408" spans="1:7">
      <c r="A408" s="379">
        <v>49</v>
      </c>
      <c r="B408" s="368" t="s">
        <v>1419</v>
      </c>
      <c r="C408" s="368" t="s">
        <v>1420</v>
      </c>
      <c r="D408" s="380" t="s">
        <v>1421</v>
      </c>
      <c r="E408" s="380">
        <v>18.033999999999999</v>
      </c>
      <c r="F408" s="380">
        <v>0.734402997</v>
      </c>
      <c r="G408" s="389">
        <v>-0.39500000000000002</v>
      </c>
    </row>
    <row r="409" spans="1:7">
      <c r="A409" s="379">
        <v>49</v>
      </c>
      <c r="B409" s="380" t="s">
        <v>29</v>
      </c>
      <c r="C409" s="380" t="s">
        <v>29</v>
      </c>
      <c r="D409" s="380" t="s">
        <v>29</v>
      </c>
      <c r="E409" s="380">
        <v>24.556000000000001</v>
      </c>
      <c r="F409" s="380" t="s">
        <v>29</v>
      </c>
      <c r="G409" s="380" t="s">
        <v>29</v>
      </c>
    </row>
    <row r="410" spans="1:7">
      <c r="A410" s="379">
        <v>50</v>
      </c>
      <c r="B410" s="368" t="s">
        <v>1422</v>
      </c>
      <c r="C410" s="368" t="s">
        <v>1423</v>
      </c>
      <c r="D410" s="380" t="s">
        <v>1424</v>
      </c>
      <c r="E410" s="380">
        <v>12.603999999999999</v>
      </c>
      <c r="F410" s="380">
        <v>0.66910866899999999</v>
      </c>
      <c r="G410" s="389">
        <v>-0.52100000000000002</v>
      </c>
    </row>
    <row r="411" spans="1:7">
      <c r="A411" s="379">
        <v>50</v>
      </c>
      <c r="B411" s="380" t="s">
        <v>29</v>
      </c>
      <c r="C411" s="380" t="s">
        <v>29</v>
      </c>
      <c r="D411" s="380" t="s">
        <v>29</v>
      </c>
      <c r="E411" s="380">
        <v>18.837</v>
      </c>
      <c r="F411" s="380" t="s">
        <v>29</v>
      </c>
      <c r="G411" s="380" t="s">
        <v>29</v>
      </c>
    </row>
    <row r="412" spans="1:7">
      <c r="A412" s="379">
        <v>51</v>
      </c>
      <c r="B412" s="368" t="s">
        <v>1425</v>
      </c>
      <c r="C412" s="368" t="s">
        <v>1426</v>
      </c>
      <c r="D412" s="368" t="s">
        <v>1158</v>
      </c>
      <c r="E412" s="380">
        <v>15.141999999999999</v>
      </c>
      <c r="F412" s="380">
        <v>0.56777531999999997</v>
      </c>
      <c r="G412" s="389">
        <v>-0.71599999999999997</v>
      </c>
    </row>
    <row r="413" spans="1:7">
      <c r="A413" s="379">
        <v>51</v>
      </c>
      <c r="B413" s="380" t="s">
        <v>29</v>
      </c>
      <c r="C413" s="380" t="s">
        <v>29</v>
      </c>
      <c r="D413" s="380" t="s">
        <v>29</v>
      </c>
      <c r="E413" s="380">
        <v>26.669</v>
      </c>
      <c r="F413" s="380" t="s">
        <v>29</v>
      </c>
      <c r="G413" s="380" t="s">
        <v>29</v>
      </c>
    </row>
    <row r="414" spans="1:7">
      <c r="A414" s="379">
        <v>52</v>
      </c>
      <c r="B414" s="368" t="s">
        <v>1427</v>
      </c>
      <c r="C414" s="368" t="s">
        <v>1428</v>
      </c>
      <c r="D414" s="368" t="s">
        <v>1429</v>
      </c>
      <c r="E414" s="380">
        <v>19.097999999999999</v>
      </c>
      <c r="F414" s="380">
        <v>0.72541497300000002</v>
      </c>
      <c r="G414" s="389">
        <v>-0.41299999999999998</v>
      </c>
    </row>
    <row r="415" spans="1:7">
      <c r="A415" s="379">
        <v>52</v>
      </c>
      <c r="B415" s="380" t="s">
        <v>29</v>
      </c>
      <c r="C415" s="380" t="s">
        <v>29</v>
      </c>
      <c r="D415" s="380" t="s">
        <v>29</v>
      </c>
      <c r="E415" s="380">
        <v>26.327000000000002</v>
      </c>
      <c r="F415" s="380" t="s">
        <v>29</v>
      </c>
      <c r="G415" s="380" t="s">
        <v>29</v>
      </c>
    </row>
    <row r="416" spans="1:7">
      <c r="A416" s="379">
        <v>53</v>
      </c>
      <c r="B416" s="368" t="s">
        <v>1430</v>
      </c>
      <c r="C416" s="368" t="s">
        <v>1431</v>
      </c>
      <c r="D416" s="368" t="s">
        <v>1429</v>
      </c>
      <c r="E416" s="380">
        <v>16.843</v>
      </c>
      <c r="F416" s="380">
        <v>0.73749890500000004</v>
      </c>
      <c r="G416" s="389">
        <v>-0.38900000000000001</v>
      </c>
    </row>
    <row r="417" spans="1:7">
      <c r="A417" s="379">
        <v>53</v>
      </c>
      <c r="B417" s="380" t="s">
        <v>29</v>
      </c>
      <c r="C417" s="380" t="s">
        <v>29</v>
      </c>
      <c r="D417" s="380" t="s">
        <v>29</v>
      </c>
      <c r="E417" s="380">
        <v>22.838000000000001</v>
      </c>
      <c r="F417" s="380" t="s">
        <v>29</v>
      </c>
      <c r="G417" s="380" t="s">
        <v>29</v>
      </c>
    </row>
    <row r="418" spans="1:7">
      <c r="A418" s="379">
        <v>54</v>
      </c>
      <c r="B418" s="368" t="s">
        <v>1432</v>
      </c>
      <c r="C418" s="368" t="s">
        <v>1433</v>
      </c>
      <c r="D418" s="368" t="s">
        <v>1434</v>
      </c>
      <c r="E418" s="380">
        <v>15.401</v>
      </c>
      <c r="F418" s="380">
        <v>0.66656567799999999</v>
      </c>
      <c r="G418" s="389">
        <v>-0.52600000000000002</v>
      </c>
    </row>
    <row r="419" spans="1:7">
      <c r="A419" s="379">
        <v>54</v>
      </c>
      <c r="B419" s="380" t="s">
        <v>29</v>
      </c>
      <c r="C419" s="380" t="s">
        <v>29</v>
      </c>
      <c r="D419" s="380" t="s">
        <v>29</v>
      </c>
      <c r="E419" s="380">
        <v>23.105</v>
      </c>
      <c r="F419" s="380" t="s">
        <v>29</v>
      </c>
      <c r="G419" s="380" t="s">
        <v>29</v>
      </c>
    </row>
    <row r="420" spans="1:7">
      <c r="A420" s="379">
        <v>55</v>
      </c>
      <c r="B420" s="368" t="s">
        <v>1435</v>
      </c>
      <c r="C420" s="368" t="s">
        <v>1436</v>
      </c>
      <c r="D420" s="368" t="s">
        <v>1434</v>
      </c>
      <c r="E420" s="380">
        <v>12.827</v>
      </c>
      <c r="F420" s="380">
        <v>0.62164388900000001</v>
      </c>
      <c r="G420" s="389">
        <v>-0.61199999999999999</v>
      </c>
    </row>
    <row r="421" spans="1:7">
      <c r="A421" s="379">
        <v>55</v>
      </c>
      <c r="B421" s="380" t="s">
        <v>29</v>
      </c>
      <c r="C421" s="380" t="s">
        <v>29</v>
      </c>
      <c r="D421" s="380" t="s">
        <v>29</v>
      </c>
      <c r="E421" s="380">
        <v>20.634</v>
      </c>
      <c r="F421" s="380" t="s">
        <v>29</v>
      </c>
      <c r="G421" s="380" t="s">
        <v>29</v>
      </c>
    </row>
    <row r="422" spans="1:7">
      <c r="A422" s="379">
        <v>56</v>
      </c>
      <c r="B422" s="368" t="s">
        <v>1437</v>
      </c>
      <c r="C422" s="368" t="s">
        <v>1438</v>
      </c>
      <c r="D422" s="368" t="s">
        <v>1439</v>
      </c>
      <c r="E422" s="380">
        <v>14.862</v>
      </c>
      <c r="F422" s="380">
        <v>0.51584464299999999</v>
      </c>
      <c r="G422" s="389">
        <v>-0.81599999999999995</v>
      </c>
    </row>
    <row r="423" spans="1:7">
      <c r="A423" s="379">
        <v>56</v>
      </c>
      <c r="B423" s="380" t="s">
        <v>29</v>
      </c>
      <c r="C423" s="380" t="s">
        <v>29</v>
      </c>
      <c r="D423" s="380" t="s">
        <v>29</v>
      </c>
      <c r="E423" s="380">
        <v>28.811</v>
      </c>
      <c r="F423" s="380" t="s">
        <v>29</v>
      </c>
      <c r="G423" s="380" t="s">
        <v>29</v>
      </c>
    </row>
    <row r="424" spans="1:7">
      <c r="A424" s="379">
        <v>57</v>
      </c>
      <c r="B424" s="368" t="s">
        <v>1440</v>
      </c>
      <c r="C424" s="368" t="s">
        <v>1441</v>
      </c>
      <c r="D424" s="380" t="s">
        <v>1442</v>
      </c>
      <c r="E424" s="380">
        <v>20.395</v>
      </c>
      <c r="F424" s="380">
        <v>0.71085009200000004</v>
      </c>
      <c r="G424" s="389">
        <v>-0.441</v>
      </c>
    </row>
    <row r="425" spans="1:7">
      <c r="A425" s="379">
        <v>57</v>
      </c>
      <c r="B425" s="380" t="s">
        <v>29</v>
      </c>
      <c r="C425" s="380" t="s">
        <v>29</v>
      </c>
      <c r="D425" s="380" t="s">
        <v>29</v>
      </c>
      <c r="E425" s="380">
        <v>28.690999999999999</v>
      </c>
      <c r="F425" s="380" t="s">
        <v>29</v>
      </c>
      <c r="G425" s="380" t="s">
        <v>29</v>
      </c>
    </row>
    <row r="426" spans="1:7">
      <c r="A426" s="379">
        <v>58</v>
      </c>
      <c r="B426" s="368" t="s">
        <v>1443</v>
      </c>
      <c r="C426" s="368" t="s">
        <v>1444</v>
      </c>
      <c r="D426" s="380" t="s">
        <v>1442</v>
      </c>
      <c r="E426" s="380">
        <v>17.225999999999999</v>
      </c>
      <c r="F426" s="380">
        <v>0.58858099600000002</v>
      </c>
      <c r="G426" s="389">
        <v>-0.67600000000000005</v>
      </c>
    </row>
    <row r="427" spans="1:7">
      <c r="A427" s="379">
        <v>58</v>
      </c>
      <c r="B427" s="380" t="s">
        <v>29</v>
      </c>
      <c r="C427" s="380" t="s">
        <v>29</v>
      </c>
      <c r="D427" s="380" t="s">
        <v>29</v>
      </c>
      <c r="E427" s="380">
        <v>29.266999999999999</v>
      </c>
      <c r="F427" s="380" t="s">
        <v>29</v>
      </c>
      <c r="G427" s="380" t="s">
        <v>29</v>
      </c>
    </row>
    <row r="428" spans="1:7">
      <c r="A428" s="379">
        <v>59</v>
      </c>
      <c r="B428" s="368" t="s">
        <v>1445</v>
      </c>
      <c r="C428" s="368" t="s">
        <v>1446</v>
      </c>
      <c r="D428" s="380" t="s">
        <v>1289</v>
      </c>
      <c r="E428" s="380">
        <v>17.047999999999998</v>
      </c>
      <c r="F428" s="380">
        <v>0.68584302200000002</v>
      </c>
      <c r="G428" s="389">
        <v>-0.48899999999999999</v>
      </c>
    </row>
    <row r="429" spans="1:7">
      <c r="A429" s="379">
        <v>59</v>
      </c>
      <c r="B429" s="380" t="s">
        <v>29</v>
      </c>
      <c r="C429" s="380" t="s">
        <v>29</v>
      </c>
      <c r="D429" s="380" t="s">
        <v>29</v>
      </c>
      <c r="E429" s="380">
        <v>24.856999999999999</v>
      </c>
      <c r="F429" s="380" t="s">
        <v>29</v>
      </c>
      <c r="G429" s="380" t="s">
        <v>29</v>
      </c>
    </row>
    <row r="430" spans="1:7">
      <c r="A430" s="379">
        <v>60</v>
      </c>
      <c r="B430" s="368" t="s">
        <v>1447</v>
      </c>
      <c r="C430" s="368" t="s">
        <v>1448</v>
      </c>
      <c r="D430" s="380" t="s">
        <v>1449</v>
      </c>
      <c r="E430" s="380">
        <v>16.596</v>
      </c>
      <c r="F430" s="380">
        <v>0.69983975700000001</v>
      </c>
      <c r="G430" s="389">
        <v>-0.46200000000000002</v>
      </c>
    </row>
    <row r="431" spans="1:7">
      <c r="A431" s="379">
        <v>60</v>
      </c>
      <c r="B431" s="380" t="s">
        <v>29</v>
      </c>
      <c r="C431" s="380" t="s">
        <v>29</v>
      </c>
      <c r="D431" s="380" t="s">
        <v>29</v>
      </c>
      <c r="E431" s="380">
        <v>23.713999999999999</v>
      </c>
      <c r="F431" s="380" t="s">
        <v>29</v>
      </c>
      <c r="G431" s="380" t="s">
        <v>29</v>
      </c>
    </row>
    <row r="432" spans="1:7">
      <c r="A432" s="396">
        <v>61</v>
      </c>
      <c r="B432" s="368" t="s">
        <v>1450</v>
      </c>
      <c r="C432" s="368" t="s">
        <v>1451</v>
      </c>
      <c r="D432" s="368" t="s">
        <v>1452</v>
      </c>
      <c r="E432" s="380">
        <v>17.329000000000001</v>
      </c>
      <c r="F432" s="380">
        <v>0.721981502</v>
      </c>
      <c r="G432" s="389">
        <v>-0.41899999999999998</v>
      </c>
    </row>
    <row r="433" spans="1:7">
      <c r="A433" s="396">
        <v>61</v>
      </c>
      <c r="B433" s="380" t="s">
        <v>29</v>
      </c>
      <c r="C433" s="380" t="s">
        <v>29</v>
      </c>
      <c r="D433" s="380" t="s">
        <v>29</v>
      </c>
      <c r="E433" s="380">
        <v>24.001999999999999</v>
      </c>
      <c r="F433" s="380" t="s">
        <v>29</v>
      </c>
      <c r="G433" s="380" t="s">
        <v>29</v>
      </c>
    </row>
    <row r="434" spans="1:7">
      <c r="A434" s="396">
        <v>62</v>
      </c>
      <c r="B434" s="368" t="s">
        <v>1453</v>
      </c>
      <c r="C434" s="368" t="s">
        <v>1454</v>
      </c>
      <c r="D434" s="368" t="s">
        <v>1452</v>
      </c>
      <c r="E434" s="380">
        <v>15.471</v>
      </c>
      <c r="F434" s="380">
        <v>0.60801729199999999</v>
      </c>
      <c r="G434" s="389">
        <v>-0.63800000000000001</v>
      </c>
    </row>
    <row r="435" spans="1:7">
      <c r="A435" s="396">
        <v>62</v>
      </c>
      <c r="B435" s="380" t="s">
        <v>29</v>
      </c>
      <c r="C435" s="380" t="s">
        <v>29</v>
      </c>
      <c r="D435" s="380" t="s">
        <v>29</v>
      </c>
      <c r="E435" s="380">
        <v>25.445</v>
      </c>
      <c r="F435" s="380" t="s">
        <v>29</v>
      </c>
      <c r="G435" s="380" t="s">
        <v>29</v>
      </c>
    </row>
    <row r="436" spans="1:7">
      <c r="A436" s="396">
        <v>63</v>
      </c>
      <c r="B436" s="368" t="s">
        <v>1455</v>
      </c>
      <c r="C436" s="368" t="s">
        <v>1456</v>
      </c>
      <c r="D436" s="368" t="s">
        <v>1457</v>
      </c>
      <c r="E436" s="380">
        <v>14.221</v>
      </c>
      <c r="F436" s="380">
        <v>0.725894543</v>
      </c>
      <c r="G436" s="389">
        <v>-0.41199999999999998</v>
      </c>
    </row>
    <row r="437" spans="1:7">
      <c r="A437" s="396">
        <v>63</v>
      </c>
      <c r="B437" s="380" t="s">
        <v>29</v>
      </c>
      <c r="C437" s="380" t="s">
        <v>29</v>
      </c>
      <c r="D437" s="380" t="s">
        <v>29</v>
      </c>
      <c r="E437" s="380">
        <v>19.591000000000001</v>
      </c>
      <c r="F437" s="380" t="s">
        <v>29</v>
      </c>
      <c r="G437" s="380" t="s">
        <v>29</v>
      </c>
    </row>
    <row r="438" spans="1:7">
      <c r="A438" s="396">
        <v>64</v>
      </c>
      <c r="B438" s="368" t="s">
        <v>1458</v>
      </c>
      <c r="C438" s="368" t="s">
        <v>1459</v>
      </c>
      <c r="D438" s="380" t="s">
        <v>354</v>
      </c>
      <c r="E438" s="380">
        <v>15.093</v>
      </c>
      <c r="F438" s="380">
        <v>0.64315847800000003</v>
      </c>
      <c r="G438" s="389">
        <v>-0.57099999999999995</v>
      </c>
    </row>
    <row r="439" spans="1:7">
      <c r="A439" s="396">
        <v>64</v>
      </c>
      <c r="B439" s="380" t="s">
        <v>29</v>
      </c>
      <c r="C439" s="380" t="s">
        <v>29</v>
      </c>
      <c r="D439" s="380" t="s">
        <v>29</v>
      </c>
      <c r="E439" s="380">
        <v>23.466999999999999</v>
      </c>
      <c r="F439" s="380" t="s">
        <v>29</v>
      </c>
      <c r="G439" s="380" t="s">
        <v>29</v>
      </c>
    </row>
    <row r="440" spans="1:7">
      <c r="A440" s="379">
        <v>65</v>
      </c>
      <c r="B440" s="368" t="s">
        <v>1460</v>
      </c>
      <c r="C440" s="368" t="s">
        <v>1461</v>
      </c>
      <c r="D440" s="380" t="s">
        <v>1462</v>
      </c>
      <c r="E440" s="380">
        <v>16.399999999999999</v>
      </c>
      <c r="F440" s="380">
        <v>0.78221883000000003</v>
      </c>
      <c r="G440" s="389">
        <v>-0.30299999999999999</v>
      </c>
    </row>
    <row r="441" spans="1:7">
      <c r="A441" s="379">
        <v>65</v>
      </c>
      <c r="B441" s="380" t="s">
        <v>29</v>
      </c>
      <c r="C441" s="380" t="s">
        <v>29</v>
      </c>
      <c r="D441" s="380" t="s">
        <v>29</v>
      </c>
      <c r="E441" s="380">
        <v>20.966000000000001</v>
      </c>
      <c r="F441" s="380" t="s">
        <v>29</v>
      </c>
      <c r="G441" s="380" t="s">
        <v>29</v>
      </c>
    </row>
  </sheetData>
  <conditionalFormatting sqref="G70:G7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78:G8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aa8578-7765-45c0-bacd-f8613a90fe91}" enabled="1" method="Privileged" siteId="{22340fa8-9226-4871-b677-d3b3e377af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EW</vt:lpstr>
      <vt:lpstr>NBL</vt:lpstr>
      <vt:lpstr>OST</vt:lpstr>
      <vt:lpstr>RBL</vt:lpstr>
      <vt:lpstr>WT</vt:lpstr>
      <vt:lpstr>Media Experiments</vt:lpstr>
      <vt:lpstr>OST - backup tab</vt:lpstr>
      <vt:lpstr>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Ramirez, Cody</cp:lastModifiedBy>
  <cp:revision/>
  <dcterms:created xsi:type="dcterms:W3CDTF">2022-08-16T14:40:52Z</dcterms:created>
  <dcterms:modified xsi:type="dcterms:W3CDTF">2026-09-16T01:32:05Z</dcterms:modified>
  <cp:category/>
  <cp:contentStatus/>
</cp:coreProperties>
</file>